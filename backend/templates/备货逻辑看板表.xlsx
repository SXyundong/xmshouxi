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name="Sheet1" sheetId="1" state="visible" r:id="rId1"/>
    <sheet name="说明" sheetId="2" state="visible" r:id="rId2"/>
    <sheet name="Sheet3" sheetId="3" state="visible" r:id="rId3"/>
    <sheet name="Sheet2" sheetId="4" state="visible" r:id="rId4"/>
  </sheets>
  <definedNames/>
  <calcPr calcId="0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yyyy/m/d;@"/>
    <numFmt numFmtId="165" formatCode="0.00_ "/>
    <numFmt numFmtId="166" formatCode="0.000_ "/>
  </numFmts>
  <fonts count="30">
    <font>
      <name val="宋体"/>
      <charset val="134"/>
      <color theme="1"/>
      <sz val="11"/>
      <scheme val="minor"/>
    </font>
    <font>
      <name val="宋体"/>
      <charset val="134"/>
      <b val="1"/>
      <sz val="12"/>
      <scheme val="minor"/>
    </font>
    <font>
      <name val="宋体"/>
      <charset val="134"/>
      <sz val="9"/>
      <scheme val="minor"/>
    </font>
    <font>
      <name val="微软雅黑"/>
      <charset val="134"/>
      <b val="1"/>
      <sz val="12"/>
    </font>
    <font>
      <name val="微软雅黑"/>
      <charset val="134"/>
      <sz val="9"/>
    </font>
    <font>
      <name val="微软雅黑"/>
      <charset val="134"/>
      <b val="1"/>
      <sz val="9"/>
    </font>
    <font>
      <name val="宋体"/>
      <charset val="134"/>
      <color theme="1"/>
      <sz val="9"/>
      <scheme val="minor"/>
    </font>
    <font>
      <name val="微软雅黑"/>
      <charset val="134"/>
      <color theme="1"/>
      <sz val="9"/>
    </font>
    <font>
      <name val="宋体"/>
      <charset val="134"/>
      <color rgb="FF000000"/>
      <sz val="9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sz val="9"/>
    </font>
    <font>
      <name val="宋体"/>
      <charset val="134"/>
      <sz val="9"/>
    </font>
  </fonts>
  <fills count="3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5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6" borderId="7" applyAlignment="1">
      <alignment vertical="center"/>
    </xf>
    <xf numFmtId="0" fontId="18" fillId="7" borderId="8" applyAlignment="1">
      <alignment vertical="center"/>
    </xf>
    <xf numFmtId="0" fontId="19" fillId="7" borderId="7" applyAlignment="1">
      <alignment vertical="center"/>
    </xf>
    <xf numFmtId="0" fontId="20" fillId="8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7" fillId="14" borderId="0" applyAlignment="1">
      <alignment vertical="center"/>
    </xf>
    <xf numFmtId="0" fontId="26" fillId="15" borderId="0" applyAlignment="1">
      <alignment vertical="center"/>
    </xf>
    <xf numFmtId="0" fontId="26" fillId="16" borderId="0" applyAlignment="1">
      <alignment vertical="center"/>
    </xf>
    <xf numFmtId="0" fontId="27" fillId="17" borderId="0" applyAlignment="1">
      <alignment vertical="center"/>
    </xf>
    <xf numFmtId="0" fontId="27" fillId="18" borderId="0" applyAlignment="1">
      <alignment vertical="center"/>
    </xf>
    <xf numFmtId="0" fontId="26" fillId="19" borderId="0" applyAlignment="1">
      <alignment vertical="center"/>
    </xf>
    <xf numFmtId="0" fontId="26" fillId="20" borderId="0" applyAlignment="1">
      <alignment vertical="center"/>
    </xf>
    <xf numFmtId="0" fontId="27" fillId="21" borderId="0" applyAlignment="1">
      <alignment vertical="center"/>
    </xf>
    <xf numFmtId="0" fontId="27" fillId="22" borderId="0" applyAlignment="1">
      <alignment vertical="center"/>
    </xf>
    <xf numFmtId="0" fontId="26" fillId="23" borderId="0" applyAlignment="1">
      <alignment vertical="center"/>
    </xf>
    <xf numFmtId="0" fontId="26" fillId="24" borderId="0" applyAlignment="1">
      <alignment vertical="center"/>
    </xf>
    <xf numFmtId="0" fontId="27" fillId="25" borderId="0" applyAlignment="1">
      <alignment vertical="center"/>
    </xf>
    <xf numFmtId="0" fontId="27" fillId="26" borderId="0" applyAlignment="1">
      <alignment vertical="center"/>
    </xf>
    <xf numFmtId="0" fontId="26" fillId="27" borderId="0" applyAlignment="1">
      <alignment vertical="center"/>
    </xf>
    <xf numFmtId="0" fontId="26" fillId="28" borderId="0" applyAlignment="1">
      <alignment vertical="center"/>
    </xf>
    <xf numFmtId="0" fontId="27" fillId="29" borderId="0" applyAlignment="1">
      <alignment vertical="center"/>
    </xf>
    <xf numFmtId="0" fontId="27" fillId="30" borderId="0" applyAlignment="1">
      <alignment vertical="center"/>
    </xf>
    <xf numFmtId="0" fontId="26" fillId="31" borderId="0" applyAlignment="1">
      <alignment vertical="center"/>
    </xf>
    <xf numFmtId="0" fontId="26" fillId="32" borderId="0" applyAlignment="1">
      <alignment vertical="center"/>
    </xf>
    <xf numFmtId="0" fontId="27" fillId="33" borderId="0" applyAlignment="1">
      <alignment vertical="center"/>
    </xf>
    <xf numFmtId="0" fontId="27" fillId="34" borderId="0" applyAlignment="1">
      <alignment vertical="center"/>
    </xf>
    <xf numFmtId="0" fontId="26" fillId="35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1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164" fontId="1" fillId="0" borderId="2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14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0">
      <alignment vertical="center"/>
    </xf>
    <xf numFmtId="164" fontId="1" fillId="0" borderId="2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Admin</author>
  </authors>
  <commentList>
    <comment ref="G34" authorId="0" shapeId="0">
      <text>
        <t>Admin:
彩盒尺寸</t>
      </text>
    </comment>
    <comment ref="G35" authorId="0" shapeId="0">
      <text>
        <t>Admin:
黄盒尺寸</t>
      </text>
    </comment>
    <comment ref="C194" authorId="0" shapeId="0">
      <text>
        <t>Admin:
美国跟欧洲电子表不一样</t>
      </text>
    </comment>
    <comment ref="B223" authorId="0" shapeId="0">
      <text>
        <t>Admin:
实际是EGOLIFE</t>
      </text>
    </comment>
    <comment ref="N268" authorId="0" shapeId="0">
      <text>
        <t>Admin:
含栈板高度130</t>
      </text>
    </comment>
  </commentList>
</comment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BC374"/>
  <sheetViews>
    <sheetView showZeros="0" tabSelected="1" topLeftCell="A322" zoomScale="80" zoomScaleNormal="80" workbookViewId="0">
      <pane xSplit="6" topLeftCell="X1" activePane="topRight" state="frozen"/>
      <selection activeCell="A1" sqref="A1"/>
      <selection pane="topRight" activeCell="A1" sqref="$A1:$XFD1"/>
    </sheetView>
  </sheetViews>
  <sheetFormatPr baseColWidth="8" defaultColWidth="9" defaultRowHeight="13.5"/>
  <cols>
    <col width="12.125" customWidth="1" style="31" min="1" max="1"/>
    <col width="19.5" customWidth="1" style="31" min="2" max="2"/>
    <col width="54.625" customWidth="1" style="31" min="3" max="3"/>
    <col width="17.25" customWidth="1" style="31" min="4" max="4"/>
    <col width="13.75" customWidth="1" style="31" min="5" max="5"/>
    <col width="6.25" customWidth="1" style="31" min="6" max="6"/>
    <col width="12.625" customWidth="1" style="31" min="7" max="7"/>
    <col width="11.5" customWidth="1" style="31" min="8" max="9"/>
    <col width="10.875" customWidth="1" style="31" min="10" max="10"/>
    <col width="12.125" customWidth="1" style="31" min="11" max="11"/>
    <col width="12.625" customWidth="1" style="31" min="12" max="12"/>
    <col width="11.5" customWidth="1" style="31" min="13" max="14"/>
    <col width="10.125" customWidth="1" style="31" min="15" max="15"/>
    <col width="13.125" customWidth="1" style="31" min="16" max="16"/>
    <col width="12.625" customWidth="1" style="31" min="17" max="17"/>
    <col width="5.125" customWidth="1" style="31" min="18" max="19"/>
    <col width="41.25" customWidth="1" style="31" min="20" max="20"/>
    <col width="7" customWidth="1" style="31" min="21" max="22"/>
    <col width="14.125" customWidth="1" style="31" min="23" max="23"/>
    <col width="12.875" customWidth="1" style="31" min="24" max="25"/>
    <col width="8.875" customWidth="1" style="31" min="26" max="28"/>
    <col width="27.5" customWidth="1" style="31" min="29" max="29"/>
    <col width="8.875" customWidth="1" style="31" min="30" max="31"/>
    <col width="12.125" customWidth="1" style="31" min="32" max="38"/>
    <col width="13.25" customWidth="1" style="31" min="39" max="39"/>
    <col hidden="1" width="8.875" customWidth="1" style="31" min="40" max="43"/>
    <col width="8.875" customWidth="1" style="31" min="44" max="46"/>
    <col width="12.1916666666667" customWidth="1" style="32" min="47" max="47"/>
    <col width="54.875" customWidth="1" style="31" min="48" max="48"/>
    <col width="5.125" customWidth="1" style="31" min="49" max="49"/>
    <col width="12.875" customWidth="1" style="31" min="50" max="52"/>
    <col width="15" customWidth="1" style="31" min="53" max="54"/>
  </cols>
  <sheetData>
    <row r="1" ht="42.75" customFormat="1" customHeight="1" s="5">
      <c r="A1" s="7" t="inlineStr">
        <is>
          <t>领星SKU</t>
        </is>
      </c>
      <c r="B1" s="7" t="inlineStr">
        <is>
          <t>亚马逊SKU</t>
        </is>
      </c>
      <c r="C1" s="7" t="inlineStr">
        <is>
          <t>品名</t>
        </is>
      </c>
      <c r="D1" s="7" t="inlineStr">
        <is>
          <t>品类</t>
        </is>
      </c>
      <c r="E1" s="7" t="inlineStr">
        <is>
          <t>店铺</t>
        </is>
      </c>
      <c r="F1" s="7" t="inlineStr">
        <is>
          <t>国家</t>
        </is>
      </c>
      <c r="G1" s="8" t="inlineStr">
        <is>
          <t>单件-长(cm）</t>
        </is>
      </c>
      <c r="H1" s="8" t="inlineStr">
        <is>
          <t>单件-宽(cm)</t>
        </is>
      </c>
      <c r="I1" s="8" t="inlineStr">
        <is>
          <t>单件-高(cm)</t>
        </is>
      </c>
      <c r="J1" s="8" t="inlineStr">
        <is>
          <t>单件重量(g)</t>
        </is>
      </c>
      <c r="K1" s="8" t="inlineStr">
        <is>
          <t>单件重量(Kg)</t>
        </is>
      </c>
      <c r="L1" s="8" t="inlineStr">
        <is>
          <t>单箱-长(cm）</t>
        </is>
      </c>
      <c r="M1" s="8" t="inlineStr">
        <is>
          <t>单箱-宽(cm)</t>
        </is>
      </c>
      <c r="N1" s="8" t="inlineStr">
        <is>
          <t>单箱-高(cm)</t>
        </is>
      </c>
      <c r="O1" s="8" t="inlineStr">
        <is>
          <t>单箱数量</t>
        </is>
      </c>
      <c r="P1" s="8" t="inlineStr">
        <is>
          <t>单箱重量(kg)</t>
        </is>
      </c>
      <c r="Q1" s="8" t="inlineStr">
        <is>
          <t>单箱体积m³</t>
        </is>
      </c>
      <c r="R1" s="8" t="inlineStr">
        <is>
          <t>单位</t>
        </is>
      </c>
      <c r="S1" s="8" t="inlineStr">
        <is>
          <t>上架时间</t>
        </is>
      </c>
      <c r="T1" s="7" t="inlineStr">
        <is>
          <t>产品状态（新品+成熟款+爆款+清仓滞销款）</t>
        </is>
      </c>
      <c r="U1" s="7" t="inlineStr">
        <is>
          <t>供应商</t>
        </is>
      </c>
      <c r="V1" s="7" t="inlineStr">
        <is>
          <t>供货价</t>
        </is>
      </c>
      <c r="W1" s="7" t="inlineStr">
        <is>
          <t>采购周期 (天)</t>
        </is>
      </c>
      <c r="X1" s="7" t="inlineStr">
        <is>
          <t>fba最低安全库存</t>
        </is>
      </c>
      <c r="Y1" s="7" t="inlineStr">
        <is>
          <t>fbm最低安全库存</t>
        </is>
      </c>
      <c r="Z1" s="7" t="inlineStr">
        <is>
          <t>最高库存</t>
        </is>
      </c>
      <c r="AA1" s="7" t="inlineStr">
        <is>
          <t>现有库存</t>
        </is>
      </c>
      <c r="AB1" s="7" t="inlineStr">
        <is>
          <t>在途库存</t>
        </is>
      </c>
      <c r="AC1" s="7" t="inlineStr">
        <is>
          <t>预留库存（供应商已下未发）</t>
        </is>
      </c>
      <c r="AD1" s="7" t="inlineStr">
        <is>
          <t>可用库存</t>
        </is>
      </c>
      <c r="AE1" s="7" t="inlineStr">
        <is>
          <t>预警状态</t>
        </is>
      </c>
      <c r="AF1" s="7" t="inlineStr">
        <is>
          <t>建议出货量</t>
        </is>
      </c>
      <c r="AG1" s="7" t="inlineStr">
        <is>
          <t>fba出货量</t>
        </is>
      </c>
      <c r="AH1" s="7" t="inlineStr">
        <is>
          <t>fbm出货量</t>
        </is>
      </c>
      <c r="AI1" s="7" t="inlineStr">
        <is>
          <t>最晚出货时间</t>
        </is>
      </c>
      <c r="AJ1" s="7" t="inlineStr">
        <is>
          <t>近 3 天销量</t>
        </is>
      </c>
      <c r="AK1" s="7" t="inlineStr">
        <is>
          <t>近 7 天销量</t>
        </is>
      </c>
      <c r="AL1" s="7" t="inlineStr">
        <is>
          <t>近 15 天销量</t>
        </is>
      </c>
      <c r="AM1" s="7" t="inlineStr">
        <is>
          <t>近 30 天销量</t>
        </is>
      </c>
      <c r="AN1" s="7" t="inlineStr">
        <is>
          <t>近 3 天销量均值</t>
        </is>
      </c>
      <c r="AO1" s="7" t="inlineStr">
        <is>
          <t>近 7 天销量均值</t>
        </is>
      </c>
      <c r="AP1" s="7" t="inlineStr">
        <is>
          <t>近 15 天销量均值</t>
        </is>
      </c>
      <c r="AQ1" s="7" t="inlineStr">
        <is>
          <t>近 30 天销量均值</t>
        </is>
      </c>
      <c r="AR1" s="7" t="inlineStr">
        <is>
          <t>日均销量</t>
        </is>
      </c>
      <c r="AS1" s="7" t="inlineStr">
        <is>
          <t>预估日销</t>
        </is>
      </c>
      <c r="AT1" s="7" t="inlineStr">
        <is>
          <t>安全库存</t>
        </is>
      </c>
      <c r="AU1" s="33" t="inlineStr">
        <is>
          <t>库存消耗最晚时间</t>
        </is>
      </c>
      <c r="AV1" s="7" t="inlineStr">
        <is>
          <t>建议备货量(安全库存系数待定，根据款式确定系数)</t>
        </is>
      </c>
      <c r="AW1" s="7" t="inlineStr">
        <is>
          <t>备注</t>
        </is>
      </c>
      <c r="AX1" s="7" t="inlineStr">
        <is>
          <t>最近更新时间</t>
        </is>
      </c>
      <c r="AY1" s="10" t="inlineStr">
        <is>
          <t>海外仓美西库存（含在途）</t>
        </is>
      </c>
      <c r="AZ1" s="10" t="inlineStr">
        <is>
          <t>海外仓美东库存（含在途）</t>
        </is>
      </c>
      <c r="BA1" s="5" t="inlineStr">
        <is>
          <t>美东建议出货量</t>
        </is>
      </c>
      <c r="BB1" s="5" t="inlineStr">
        <is>
          <t>美西建议出货量</t>
        </is>
      </c>
      <c r="BC1" s="5" t="inlineStr">
        <is>
          <t>分仓比例</t>
        </is>
      </c>
    </row>
    <row r="2" ht="14.25" customHeight="1" s="31">
      <c r="A2" s="19" t="n"/>
      <c r="B2" s="19" t="n"/>
      <c r="C2" s="19" t="n"/>
      <c r="D2" s="19" t="n"/>
      <c r="E2" s="19" t="n"/>
      <c r="F2" s="19" t="n"/>
      <c r="G2" s="34" t="n"/>
      <c r="H2" s="34" t="n"/>
      <c r="I2" s="34" t="n"/>
      <c r="J2" s="19">
        <f>K2*1000</f>
        <v/>
      </c>
      <c r="K2" s="19" t="n"/>
      <c r="L2" s="19" t="n"/>
      <c r="M2" s="19" t="n"/>
      <c r="N2" s="19" t="n"/>
      <c r="O2" s="19" t="n"/>
      <c r="P2" s="19" t="n"/>
      <c r="Q2" s="19">
        <f>ROUND((L2*M2*N2)/1000000,3)</f>
        <v/>
      </c>
      <c r="R2" s="19" t="n"/>
      <c r="S2" s="19" t="n"/>
      <c r="T2" s="4" t="n"/>
      <c r="U2" s="4" t="n"/>
      <c r="V2" s="19" t="n"/>
      <c r="W2" s="19" t="n"/>
      <c r="X2" s="4">
        <f>AR2*(W2+35+10)</f>
        <v/>
      </c>
      <c r="Y2" s="4">
        <f>AR2*(W2+35+10+45)</f>
        <v/>
      </c>
      <c r="Z2" s="4">
        <f>AA2+AB2+AC2</f>
        <v/>
      </c>
      <c r="AA2" s="4" t="n"/>
      <c r="AB2" s="4" t="n"/>
      <c r="AC2" s="4" t="n"/>
      <c r="AD2" s="4">
        <f>AA2+AB2</f>
        <v/>
      </c>
      <c r="AE2" s="13">
        <f>IF(AD2&lt;=AT2,"库存不足",IF(AD2&gt;=AT2*1.5,"库存预警","库存正常"))</f>
        <v/>
      </c>
      <c r="AF2" s="4">
        <f>MAX(AT2-AA2-AB2,0)</f>
        <v/>
      </c>
      <c r="AG2" s="4">
        <f>MAX(X2-AD2,0)</f>
        <v/>
      </c>
      <c r="AH2" s="4">
        <f>AF2-AG2</f>
        <v/>
      </c>
      <c r="AI2" s="14">
        <f>AX2+(AA2+AB2)/AR2-60</f>
        <v/>
      </c>
      <c r="AJ2" s="4" t="n"/>
      <c r="AK2" s="15" t="n"/>
      <c r="AL2" s="15" t="n"/>
      <c r="AM2" s="15" t="n"/>
      <c r="AN2" s="15" t="n"/>
      <c r="AO2" s="4">
        <f>ROUND(AK2/7,0)</f>
        <v/>
      </c>
      <c r="AP2" s="4">
        <f>ROUND(AL2/15,0)</f>
        <v/>
      </c>
      <c r="AQ2" s="4">
        <f>ROUND(AM2/30,0)</f>
        <v/>
      </c>
      <c r="AR2" s="4" t="n"/>
      <c r="AS2" s="4" t="n"/>
      <c r="AT2" s="4">
        <f>AR2*(W2+7+30)</f>
        <v/>
      </c>
      <c r="AU2" s="4" t="n"/>
      <c r="AV2" s="4">
        <f>MAX(0,AT2-AD2-AC2)</f>
        <v/>
      </c>
      <c r="AW2" s="4" t="n"/>
      <c r="AX2" s="14">
        <f>TODAY()</f>
        <v/>
      </c>
      <c r="AY2" s="14" t="n"/>
      <c r="AZ2" s="14" t="n"/>
      <c r="BA2" s="16" t="n"/>
      <c r="BB2" s="16" t="n"/>
      <c r="BC2" s="16" t="n"/>
    </row>
    <row r="3" ht="14.25" customHeight="1" s="31">
      <c r="A3" s="19" t="n"/>
      <c r="B3" s="19" t="n"/>
      <c r="C3" s="19" t="n"/>
      <c r="D3" s="19" t="n"/>
      <c r="E3" s="19" t="n"/>
      <c r="F3" s="19" t="n"/>
      <c r="G3" s="34" t="n"/>
      <c r="H3" s="34" t="n"/>
      <c r="I3" s="34" t="n"/>
      <c r="J3" s="19">
        <f>K3*1000</f>
        <v/>
      </c>
      <c r="K3" s="19" t="n"/>
      <c r="L3" s="19" t="n"/>
      <c r="M3" s="19" t="n"/>
      <c r="N3" s="19" t="n"/>
      <c r="O3" s="19" t="n"/>
      <c r="P3" s="19" t="n"/>
      <c r="Q3" s="19">
        <f>ROUND((L3*M3*N3)/1000000,3)</f>
        <v/>
      </c>
      <c r="R3" s="19" t="n"/>
      <c r="S3" s="19" t="n"/>
      <c r="T3" s="4" t="n"/>
      <c r="U3" s="4" t="n"/>
      <c r="V3" s="19" t="n"/>
      <c r="W3" s="19" t="n"/>
      <c r="X3" s="4">
        <f>AR3*(W3+30)</f>
        <v/>
      </c>
      <c r="Y3" s="4" t="n"/>
      <c r="Z3" s="4">
        <f>AA3+AB3+AC3</f>
        <v/>
      </c>
      <c r="AA3" s="4" t="n"/>
      <c r="AB3" s="4" t="n"/>
      <c r="AC3" s="4" t="n"/>
      <c r="AD3" s="4">
        <f>AA3+AB3</f>
        <v/>
      </c>
      <c r="AE3" s="13">
        <f>IF(AD3&lt;=AT3,"库存不足",IF(AD3&gt;=AT3*1.5,"库存预警","库存正常"))</f>
        <v/>
      </c>
      <c r="AF3" s="4">
        <f>MAX(AT3-AA3-AB3,0)</f>
        <v/>
      </c>
      <c r="AG3" s="4">
        <f>MAX(X3-AD3,0)</f>
        <v/>
      </c>
      <c r="AH3" s="4">
        <f>AF3-AG3</f>
        <v/>
      </c>
      <c r="AI3" s="14">
        <f>AX3+(AA3+AB3)/AR3-60</f>
        <v/>
      </c>
      <c r="AJ3" s="4" t="n"/>
      <c r="AK3" s="4" t="n"/>
      <c r="AL3" s="4" t="n"/>
      <c r="AM3" s="4" t="n"/>
      <c r="AN3" s="15" t="n"/>
      <c r="AO3" s="4">
        <f>ROUND(AK3/7,0)</f>
        <v/>
      </c>
      <c r="AP3" s="4">
        <f>ROUND(AL3/15,0)</f>
        <v/>
      </c>
      <c r="AQ3" s="4">
        <f>ROUND(AM3/30,0)</f>
        <v/>
      </c>
      <c r="AR3" s="4" t="n"/>
      <c r="AS3" s="4" t="n"/>
      <c r="AT3" s="4">
        <f>AR3*(W3+7+30)</f>
        <v/>
      </c>
      <c r="AU3" s="35" t="n"/>
      <c r="AV3" s="4">
        <f>MAX(0,AT3-AD3-AC3)</f>
        <v/>
      </c>
      <c r="AW3" s="4" t="n"/>
      <c r="AX3" s="14">
        <f>TODAY()</f>
        <v/>
      </c>
      <c r="AY3" s="4" t="n"/>
      <c r="AZ3" s="4" t="n"/>
      <c r="BA3" s="16" t="n"/>
      <c r="BB3" s="16" t="n"/>
      <c r="BC3" s="16" t="n"/>
    </row>
    <row r="4" ht="14.25" customHeight="1" s="31">
      <c r="A4" s="19" t="n"/>
      <c r="B4" s="19" t="n"/>
      <c r="C4" s="19" t="n"/>
      <c r="D4" s="19" t="n"/>
      <c r="E4" s="19" t="n"/>
      <c r="F4" s="19" t="n"/>
      <c r="G4" s="34" t="n"/>
      <c r="H4" s="34" t="n"/>
      <c r="I4" s="34" t="n"/>
      <c r="J4" s="19">
        <f>K4*1000</f>
        <v/>
      </c>
      <c r="K4" s="19" t="n"/>
      <c r="L4" s="19" t="n"/>
      <c r="M4" s="19" t="n"/>
      <c r="N4" s="19" t="n"/>
      <c r="O4" s="19" t="n"/>
      <c r="P4" s="19" t="n"/>
      <c r="Q4" s="19">
        <f>ROUND((L4*M4*N4)/1000000,3)</f>
        <v/>
      </c>
      <c r="R4" s="19" t="n"/>
      <c r="S4" s="19" t="n"/>
      <c r="T4" s="4" t="n"/>
      <c r="U4" s="4" t="n"/>
      <c r="V4" s="19" t="n"/>
      <c r="W4" s="19" t="n"/>
      <c r="X4" s="4">
        <f>AR4*(W4+35+10)</f>
        <v/>
      </c>
      <c r="Y4" s="4">
        <f>AR4*(W4+35+10+45)</f>
        <v/>
      </c>
      <c r="Z4" s="4">
        <f>AA4+AB4+AC4</f>
        <v/>
      </c>
      <c r="AA4" s="4" t="n"/>
      <c r="AB4" s="4" t="n"/>
      <c r="AC4" s="4" t="n"/>
      <c r="AD4" s="4">
        <f>AA4+AB4</f>
        <v/>
      </c>
      <c r="AE4" s="13">
        <f>IF(AD4&lt;=AT4,"库存不足",IF(AD4&gt;=AT4*1.5,"库存预警","库存正常"))</f>
        <v/>
      </c>
      <c r="AF4" s="4">
        <f>MAX(AT4-AA4-AB4,0)</f>
        <v/>
      </c>
      <c r="AG4" s="4">
        <f>MAX(X4-AD4,0)</f>
        <v/>
      </c>
      <c r="AH4" s="4">
        <f>AF4-AG4</f>
        <v/>
      </c>
      <c r="AI4" s="14">
        <f>AX4+(AA4+AB4)/AR4-60</f>
        <v/>
      </c>
      <c r="AJ4" s="4" t="n"/>
      <c r="AK4" s="15" t="n"/>
      <c r="AL4" s="15" t="n"/>
      <c r="AM4" s="15" t="n"/>
      <c r="AN4" s="15" t="n"/>
      <c r="AO4" s="4">
        <f>ROUND(AK4/7,0)</f>
        <v/>
      </c>
      <c r="AP4" s="4">
        <f>ROUND(AL4/15,0)</f>
        <v/>
      </c>
      <c r="AQ4" s="4">
        <f>ROUND(AM4/30,0)</f>
        <v/>
      </c>
      <c r="AR4" s="4" t="n"/>
      <c r="AS4" s="4" t="n"/>
      <c r="AT4" s="4">
        <f>AR4*(W4+7+30)</f>
        <v/>
      </c>
      <c r="AU4" s="4" t="n"/>
      <c r="AV4" s="4">
        <f>MAX(0,AT4-AD4-AC4)</f>
        <v/>
      </c>
      <c r="AW4" s="4" t="n"/>
      <c r="AX4" s="14">
        <f>TODAY()</f>
        <v/>
      </c>
      <c r="AY4" s="4" t="n"/>
      <c r="AZ4" s="4" t="n"/>
      <c r="BA4" s="16" t="n"/>
      <c r="BB4" s="16" t="n"/>
      <c r="BC4" s="16" t="n"/>
    </row>
    <row r="5" ht="14.25" customHeight="1" s="31">
      <c r="A5" s="19" t="n"/>
      <c r="B5" s="19" t="n"/>
      <c r="C5" s="19" t="n"/>
      <c r="D5" s="19" t="n"/>
      <c r="E5" s="19" t="n"/>
      <c r="F5" s="19" t="n"/>
      <c r="G5" s="34" t="n"/>
      <c r="H5" s="34" t="n"/>
      <c r="I5" s="34" t="n"/>
      <c r="J5" s="19">
        <f>K5*1000</f>
        <v/>
      </c>
      <c r="K5" s="19" t="n"/>
      <c r="L5" s="19" t="n"/>
      <c r="M5" s="19" t="n"/>
      <c r="N5" s="19" t="n"/>
      <c r="O5" s="19" t="n"/>
      <c r="P5" s="19" t="n"/>
      <c r="Q5" s="19">
        <f>ROUND((L5*M5*N5)/1000000,3)</f>
        <v/>
      </c>
      <c r="R5" s="19" t="n"/>
      <c r="S5" s="19" t="n"/>
      <c r="T5" s="4" t="n"/>
      <c r="U5" s="4" t="n"/>
      <c r="V5" s="19" t="n"/>
      <c r="W5" s="19" t="n"/>
      <c r="X5" s="4">
        <f>AR5*(W5+35+10)</f>
        <v/>
      </c>
      <c r="Y5" s="4">
        <f>AR5*(W5+35+10+45)</f>
        <v/>
      </c>
      <c r="Z5" s="4">
        <f>AA5+AB5+AC5</f>
        <v/>
      </c>
      <c r="AA5" s="4" t="n"/>
      <c r="AB5" s="4" t="n"/>
      <c r="AC5" s="4" t="n"/>
      <c r="AD5" s="4">
        <f>AA5+AB5</f>
        <v/>
      </c>
      <c r="AE5" s="13">
        <f>IF(AD5&lt;=AT5,"库存不足",IF(AD5&gt;=AT5*1.5,"库存预警","库存正常"))</f>
        <v/>
      </c>
      <c r="AF5" s="4">
        <f>MAX(AT5-AA5-AB5,0)</f>
        <v/>
      </c>
      <c r="AG5" s="4">
        <f>MAX(X5-AD5,0)</f>
        <v/>
      </c>
      <c r="AH5" s="4">
        <f>AF5-AG5</f>
        <v/>
      </c>
      <c r="AI5" s="14">
        <f>AX5+(AA5+AB5)/AR5-60</f>
        <v/>
      </c>
      <c r="AJ5" s="4" t="n"/>
      <c r="AK5" s="15" t="n"/>
      <c r="AL5" s="15" t="n"/>
      <c r="AM5" s="15" t="n"/>
      <c r="AN5" s="15" t="n"/>
      <c r="AO5" s="4">
        <f>ROUND(AK5/7,0)</f>
        <v/>
      </c>
      <c r="AP5" s="4">
        <f>ROUND(AL5/15,0)</f>
        <v/>
      </c>
      <c r="AQ5" s="4">
        <f>ROUND(AM5/30,0)</f>
        <v/>
      </c>
      <c r="AR5" s="4" t="n"/>
      <c r="AS5" s="4" t="n"/>
      <c r="AT5" s="4">
        <f>AR5*(W5+7+30)</f>
        <v/>
      </c>
      <c r="AU5" s="4" t="n"/>
      <c r="AV5" s="4">
        <f>MAX(0,AT5-AD5-AC5)</f>
        <v/>
      </c>
      <c r="AW5" s="4" t="n"/>
      <c r="AX5" s="14">
        <f>TODAY()</f>
        <v/>
      </c>
      <c r="AY5" s="4" t="n"/>
      <c r="AZ5" s="4" t="n"/>
      <c r="BA5" s="16" t="n"/>
      <c r="BB5" s="16" t="n"/>
      <c r="BC5" s="16" t="n"/>
    </row>
    <row r="6" ht="14.25" customHeight="1" s="31">
      <c r="A6" s="19" t="n"/>
      <c r="B6" s="19" t="n"/>
      <c r="C6" s="19" t="n"/>
      <c r="D6" s="19" t="n"/>
      <c r="E6" s="19" t="n"/>
      <c r="F6" s="19" t="n"/>
      <c r="G6" s="34" t="n"/>
      <c r="H6" s="34" t="n"/>
      <c r="I6" s="34" t="n"/>
      <c r="J6" s="19">
        <f>K6*1000</f>
        <v/>
      </c>
      <c r="K6" s="19" t="n"/>
      <c r="L6" s="19" t="n"/>
      <c r="M6" s="19" t="n"/>
      <c r="N6" s="19" t="n"/>
      <c r="O6" s="19" t="n"/>
      <c r="P6" s="19" t="n"/>
      <c r="Q6" s="19">
        <f>ROUND((L6*M6*N6)/1000000,3)</f>
        <v/>
      </c>
      <c r="R6" s="19" t="n"/>
      <c r="S6" s="19" t="n"/>
      <c r="T6" s="4" t="n"/>
      <c r="U6" s="4" t="n"/>
      <c r="V6" s="19" t="n"/>
      <c r="W6" s="19" t="n"/>
      <c r="X6" s="4">
        <f>AR6*(W6+35+10)</f>
        <v/>
      </c>
      <c r="Y6" s="4">
        <f>AR6*(W6+35+10+45)</f>
        <v/>
      </c>
      <c r="Z6" s="4">
        <f>AA6+AB6+AC6</f>
        <v/>
      </c>
      <c r="AA6" s="4" t="n"/>
      <c r="AB6" s="4" t="n"/>
      <c r="AC6" s="4" t="n"/>
      <c r="AD6" s="4">
        <f>AA6+AB6</f>
        <v/>
      </c>
      <c r="AE6" s="13">
        <f>IF(AD6&lt;=AT6,"库存不足",IF(AD6&gt;=AT6*1.5,"库存预警","库存正常"))</f>
        <v/>
      </c>
      <c r="AF6" s="4">
        <f>MAX(AT6-AA6-AB6,0)</f>
        <v/>
      </c>
      <c r="AG6" s="4">
        <f>MAX(X6-AD6,0)</f>
        <v/>
      </c>
      <c r="AH6" s="4">
        <f>AF6-AG6</f>
        <v/>
      </c>
      <c r="AI6" s="14">
        <f>AX6+(AA6+AB6)/AR6-60</f>
        <v/>
      </c>
      <c r="AJ6" s="4" t="n"/>
      <c r="AK6" s="15" t="n"/>
      <c r="AL6" s="15" t="n"/>
      <c r="AM6" s="15" t="n"/>
      <c r="AN6" s="15" t="n"/>
      <c r="AO6" s="4">
        <f>ROUND(AK6/7,0)</f>
        <v/>
      </c>
      <c r="AP6" s="4">
        <f>ROUND(AL6/15,0)</f>
        <v/>
      </c>
      <c r="AQ6" s="4">
        <f>ROUND(AM6/30,0)</f>
        <v/>
      </c>
      <c r="AR6" s="4" t="n"/>
      <c r="AS6" s="4" t="n"/>
      <c r="AT6" s="4">
        <f>AR6*(W6+7+30)</f>
        <v/>
      </c>
      <c r="AU6" s="4" t="n"/>
      <c r="AV6" s="4">
        <f>MAX(0,AT6-AD6-AC6)</f>
        <v/>
      </c>
      <c r="AW6" s="4" t="n"/>
      <c r="AX6" s="14">
        <f>TODAY()</f>
        <v/>
      </c>
      <c r="AY6" s="4" t="n"/>
      <c r="AZ6" s="4" t="n"/>
      <c r="BA6" s="16" t="n"/>
      <c r="BB6" s="16" t="n"/>
      <c r="BC6" s="16" t="n"/>
    </row>
    <row r="7" ht="14.25" customHeight="1" s="31">
      <c r="A7" s="19" t="n"/>
      <c r="B7" s="19" t="n"/>
      <c r="C7" s="19" t="n"/>
      <c r="D7" s="19" t="n"/>
      <c r="E7" s="19" t="n"/>
      <c r="F7" s="19" t="n"/>
      <c r="G7" s="34" t="n"/>
      <c r="H7" s="34" t="n"/>
      <c r="I7" s="34" t="n"/>
      <c r="J7" s="19">
        <f>K7*1000</f>
        <v/>
      </c>
      <c r="K7" s="19" t="n"/>
      <c r="L7" s="19" t="n"/>
      <c r="M7" s="19" t="n"/>
      <c r="N7" s="19" t="n"/>
      <c r="O7" s="19" t="n"/>
      <c r="P7" s="19" t="n"/>
      <c r="Q7" s="19">
        <f>ROUND((L7*M7*N7)/1000000,3)</f>
        <v/>
      </c>
      <c r="R7" s="19" t="n"/>
      <c r="S7" s="19" t="n"/>
      <c r="T7" s="4" t="n"/>
      <c r="U7" s="4" t="n"/>
      <c r="V7" s="19" t="n"/>
      <c r="W7" s="19" t="n"/>
      <c r="X7" s="4">
        <f>AR7*(W7+35+10)</f>
        <v/>
      </c>
      <c r="Y7" s="4">
        <f>AR7*(W7+35+10+45)</f>
        <v/>
      </c>
      <c r="Z7" s="4">
        <f>AA7+AB7+AC7</f>
        <v/>
      </c>
      <c r="AA7" s="4" t="n"/>
      <c r="AB7" s="4" t="n"/>
      <c r="AC7" s="4" t="n"/>
      <c r="AD7" s="4">
        <f>AA7+AB7</f>
        <v/>
      </c>
      <c r="AE7" s="13">
        <f>IF(AD7&lt;=AT7,"库存不足",IF(AD7&gt;=AT7*1.5,"库存预警","库存正常"))</f>
        <v/>
      </c>
      <c r="AF7" s="4">
        <f>MAX(AT7-AA7-AB7,0)</f>
        <v/>
      </c>
      <c r="AG7" s="4">
        <f>MAX(X7-AD7,0)</f>
        <v/>
      </c>
      <c r="AH7" s="4">
        <f>AF7-AG7</f>
        <v/>
      </c>
      <c r="AI7" s="14">
        <f>AX7+(AA7+AB7)/AR7-60</f>
        <v/>
      </c>
      <c r="AJ7" s="4" t="n"/>
      <c r="AK7" s="15" t="n"/>
      <c r="AL7" s="15" t="n"/>
      <c r="AM7" s="15" t="n"/>
      <c r="AN7" s="15" t="n"/>
      <c r="AO7" s="4">
        <f>ROUND(AK7/7,0)</f>
        <v/>
      </c>
      <c r="AP7" s="4">
        <f>ROUND(AL7/15,0)</f>
        <v/>
      </c>
      <c r="AQ7" s="4">
        <f>ROUND(AM7/30,0)</f>
        <v/>
      </c>
      <c r="AR7" s="4" t="n"/>
      <c r="AS7" s="4" t="n"/>
      <c r="AT7" s="4">
        <f>AR7*(W7+7+30)</f>
        <v/>
      </c>
      <c r="AU7" s="4" t="n"/>
      <c r="AV7" s="4">
        <f>MAX(0,AT7-AD7-AC7)</f>
        <v/>
      </c>
      <c r="AW7" s="4" t="n"/>
      <c r="AX7" s="14">
        <f>TODAY()</f>
        <v/>
      </c>
      <c r="AY7" s="4" t="n"/>
      <c r="AZ7" s="4" t="n"/>
      <c r="BA7" s="16" t="n"/>
      <c r="BB7" s="16" t="n"/>
      <c r="BC7" s="16" t="n"/>
    </row>
    <row r="8" ht="14.25" customHeight="1" s="31">
      <c r="A8" s="19" t="n"/>
      <c r="B8" s="19" t="n"/>
      <c r="C8" s="19" t="n"/>
      <c r="D8" s="19" t="n"/>
      <c r="E8" s="19" t="n"/>
      <c r="F8" s="19" t="n"/>
      <c r="G8" s="34" t="n"/>
      <c r="H8" s="34" t="n"/>
      <c r="I8" s="34" t="n"/>
      <c r="J8" s="19">
        <f>K8*1000</f>
        <v/>
      </c>
      <c r="K8" s="19" t="n"/>
      <c r="L8" s="19" t="n"/>
      <c r="M8" s="19" t="n"/>
      <c r="N8" s="19" t="n"/>
      <c r="O8" s="19" t="n"/>
      <c r="P8" s="19" t="n"/>
      <c r="Q8" s="19">
        <f>ROUND((L8*M8*N8)/1000000,3)</f>
        <v/>
      </c>
      <c r="R8" s="19" t="n"/>
      <c r="S8" s="19" t="n"/>
      <c r="T8" s="4" t="n"/>
      <c r="U8" s="4" t="n"/>
      <c r="V8" s="19" t="n"/>
      <c r="W8" s="19" t="n"/>
      <c r="X8" s="4">
        <f>AR8*(W8+35+10)</f>
        <v/>
      </c>
      <c r="Y8" s="4">
        <f>AR8*(W8+35+10+45)</f>
        <v/>
      </c>
      <c r="Z8" s="4">
        <f>AA8+AB8+AC8</f>
        <v/>
      </c>
      <c r="AA8" s="4" t="n"/>
      <c r="AB8" s="4" t="n"/>
      <c r="AC8" s="4" t="n"/>
      <c r="AD8" s="4">
        <f>AA8+AB8</f>
        <v/>
      </c>
      <c r="AE8" s="13">
        <f>IF(AD8&lt;=AT8,"库存不足",IF(AD8&gt;=AT8*1.5,"库存预警","库存正常"))</f>
        <v/>
      </c>
      <c r="AF8" s="4">
        <f>MAX(AT8-AA8-AB8,0)</f>
        <v/>
      </c>
      <c r="AG8" s="4">
        <f>MAX(X8-AD8,0)</f>
        <v/>
      </c>
      <c r="AH8" s="4">
        <f>AF8-AG8</f>
        <v/>
      </c>
      <c r="AI8" s="14">
        <f>AX8+(AA8+AB8)/AR8-60</f>
        <v/>
      </c>
      <c r="AJ8" s="4" t="n"/>
      <c r="AK8" s="15" t="n"/>
      <c r="AL8" s="15" t="n"/>
      <c r="AM8" s="15" t="n"/>
      <c r="AN8" s="15" t="n"/>
      <c r="AO8" s="4">
        <f>ROUND(AK8/7,0)</f>
        <v/>
      </c>
      <c r="AP8" s="4">
        <f>ROUND(AL8/15,0)</f>
        <v/>
      </c>
      <c r="AQ8" s="4">
        <f>ROUND(AM8/30,0)</f>
        <v/>
      </c>
      <c r="AR8" s="4" t="n"/>
      <c r="AS8" s="4" t="n"/>
      <c r="AT8" s="4">
        <f>AR8*(W8+7+30)</f>
        <v/>
      </c>
      <c r="AU8" s="4" t="n"/>
      <c r="AV8" s="4" t="n"/>
      <c r="AW8" s="4" t="n"/>
      <c r="AX8" s="14">
        <f>TODAY()</f>
        <v/>
      </c>
      <c r="AY8" s="4" t="n"/>
      <c r="AZ8" s="4" t="n"/>
      <c r="BA8" s="16" t="n"/>
      <c r="BB8" s="16" t="n"/>
      <c r="BC8" s="16" t="n"/>
    </row>
    <row r="9" ht="14.25" customHeight="1" s="31">
      <c r="A9" s="19" t="n"/>
      <c r="B9" s="19" t="n"/>
      <c r="C9" s="19" t="n"/>
      <c r="D9" s="19" t="n"/>
      <c r="E9" s="19" t="n"/>
      <c r="F9" s="19" t="n"/>
      <c r="G9" s="34" t="n"/>
      <c r="H9" s="34" t="n"/>
      <c r="I9" s="34" t="n"/>
      <c r="J9" s="19">
        <f>K9*1000</f>
        <v/>
      </c>
      <c r="K9" s="19" t="n"/>
      <c r="L9" s="19" t="n"/>
      <c r="M9" s="19" t="n"/>
      <c r="N9" s="19" t="n"/>
      <c r="O9" s="19" t="n"/>
      <c r="P9" s="19" t="n"/>
      <c r="Q9" s="19">
        <f>ROUND((L9*M9*N9)/1000000,3)</f>
        <v/>
      </c>
      <c r="R9" s="19" t="n"/>
      <c r="S9" s="19" t="n"/>
      <c r="T9" s="4" t="n"/>
      <c r="U9" s="4" t="n"/>
      <c r="V9" s="19" t="n"/>
      <c r="W9" s="19" t="n"/>
      <c r="X9" s="4">
        <f>AR9*(W9+35+10)</f>
        <v/>
      </c>
      <c r="Y9" s="4">
        <f>AR9*(W9+35+10+45)</f>
        <v/>
      </c>
      <c r="Z9" s="4">
        <f>AA9+AB9+AC9</f>
        <v/>
      </c>
      <c r="AA9" s="4" t="n"/>
      <c r="AB9" s="4" t="n"/>
      <c r="AC9" s="4" t="n"/>
      <c r="AD9" s="4">
        <f>AA9+AB9</f>
        <v/>
      </c>
      <c r="AE9" s="13">
        <f>IF(AD9&lt;=AT9,"库存不足",IF(AD9&gt;=AT9*1.5,"库存预警","库存正常"))</f>
        <v/>
      </c>
      <c r="AF9" s="4">
        <f>MAX(AT9-AA9-AB9,0)</f>
        <v/>
      </c>
      <c r="AG9" s="4">
        <f>MAX(X9-AD9,0)</f>
        <v/>
      </c>
      <c r="AH9" s="4">
        <f>AF9-AG9</f>
        <v/>
      </c>
      <c r="AI9" s="14">
        <f>AX9+(AA9+AB9)/AR9-60</f>
        <v/>
      </c>
      <c r="AJ9" s="4" t="n"/>
      <c r="AK9" s="15" t="n"/>
      <c r="AL9" s="15" t="n"/>
      <c r="AM9" s="15" t="n"/>
      <c r="AN9" s="15" t="n"/>
      <c r="AO9" s="4">
        <f>ROUND(AK9/7,0)</f>
        <v/>
      </c>
      <c r="AP9" s="4">
        <f>ROUND(AL9/15,0)</f>
        <v/>
      </c>
      <c r="AQ9" s="4">
        <f>ROUND(AM9/30,0)</f>
        <v/>
      </c>
      <c r="AR9" s="4" t="n"/>
      <c r="AS9" s="4" t="n"/>
      <c r="AT9" s="4">
        <f>AR9*(W9+7+30)</f>
        <v/>
      </c>
      <c r="AU9" s="4" t="n"/>
      <c r="AV9" s="4">
        <f>MAX(0,AT9-AD9-AC9)</f>
        <v/>
      </c>
      <c r="AW9" s="4" t="n"/>
      <c r="AX9" s="14">
        <f>TODAY()</f>
        <v/>
      </c>
      <c r="AY9" s="4" t="n"/>
      <c r="AZ9" s="4" t="n"/>
      <c r="BA9" s="16" t="n"/>
      <c r="BB9" s="16" t="n"/>
      <c r="BC9" s="16" t="n"/>
    </row>
    <row r="10" ht="14.25" customHeight="1" s="31">
      <c r="A10" s="19" t="n"/>
      <c r="B10" s="19" t="n"/>
      <c r="C10" s="19" t="n"/>
      <c r="D10" s="19" t="n"/>
      <c r="E10" s="19" t="n"/>
      <c r="F10" s="19" t="n"/>
      <c r="G10" s="34" t="n"/>
      <c r="H10" s="34" t="n"/>
      <c r="I10" s="34" t="n"/>
      <c r="J10" s="19" t="n"/>
      <c r="K10" s="19" t="n"/>
      <c r="L10" s="19" t="n"/>
      <c r="M10" s="19" t="n"/>
      <c r="N10" s="19" t="n"/>
      <c r="O10" s="19" t="n"/>
      <c r="P10" s="19" t="n"/>
      <c r="Q10" s="19">
        <f>ROUND((L10*M10*N10)/1000000,3)</f>
        <v/>
      </c>
      <c r="R10" s="19" t="n"/>
      <c r="S10" s="19" t="n"/>
      <c r="T10" s="4" t="n"/>
      <c r="U10" s="4" t="n"/>
      <c r="V10" s="19" t="n"/>
      <c r="W10" s="19" t="n"/>
      <c r="X10" s="4">
        <f>AR10*(W10+35+10)</f>
        <v/>
      </c>
      <c r="Y10" s="4">
        <f>AR10*(W10+35+10+45)</f>
        <v/>
      </c>
      <c r="Z10" s="4">
        <f>AA10+AB10+AC10</f>
        <v/>
      </c>
      <c r="AA10" s="4" t="n"/>
      <c r="AB10" s="4" t="n"/>
      <c r="AC10" s="4" t="n"/>
      <c r="AD10" s="4">
        <f>AA10+AB10</f>
        <v/>
      </c>
      <c r="AE10" s="13">
        <f>IF(AD10&lt;=AT10,"库存不足",IF(AD10&gt;=AT10*1.5,"库存预警","库存正常"))</f>
        <v/>
      </c>
      <c r="AF10" s="4">
        <f>MAX(AT10-AA10-AB10,0)</f>
        <v/>
      </c>
      <c r="AG10" s="4">
        <f>MAX(X10-AD10,0)</f>
        <v/>
      </c>
      <c r="AH10" s="4">
        <f>AF10-AG10</f>
        <v/>
      </c>
      <c r="AI10" s="14">
        <f>AX10+(AA10+AB10)/AR10-60</f>
        <v/>
      </c>
      <c r="AJ10" s="4" t="n"/>
      <c r="AK10" s="15" t="n"/>
      <c r="AL10" s="15" t="n"/>
      <c r="AM10" s="15" t="n"/>
      <c r="AN10" s="15" t="n"/>
      <c r="AO10" s="4">
        <f>ROUND(AK10/7,0)</f>
        <v/>
      </c>
      <c r="AP10" s="4">
        <f>ROUND(AL10/15,0)</f>
        <v/>
      </c>
      <c r="AQ10" s="4">
        <f>ROUND(AM10/30,0)</f>
        <v/>
      </c>
      <c r="AR10" s="4" t="n"/>
      <c r="AS10" s="4" t="n"/>
      <c r="AT10" s="4">
        <f>AR10*(W10+7+30)</f>
        <v/>
      </c>
      <c r="AU10" s="4" t="n"/>
      <c r="AV10" s="4">
        <f>MAX(0,AT10-AD10-AC10)</f>
        <v/>
      </c>
      <c r="AW10" s="4" t="n"/>
      <c r="AX10" s="14">
        <f>TODAY()</f>
        <v/>
      </c>
      <c r="AY10" s="4" t="n"/>
      <c r="AZ10" s="4" t="n"/>
      <c r="BA10" s="16" t="n"/>
      <c r="BB10" s="16" t="n"/>
      <c r="BC10" s="16" t="n"/>
    </row>
    <row r="11" ht="14.25" customHeight="1" s="31">
      <c r="A11" s="19" t="n"/>
      <c r="B11" s="19" t="n"/>
      <c r="C11" s="19" t="n"/>
      <c r="D11" s="19" t="n"/>
      <c r="E11" s="19" t="n"/>
      <c r="F11" s="19" t="n"/>
      <c r="G11" s="34" t="n"/>
      <c r="H11" s="34" t="n"/>
      <c r="I11" s="34" t="n"/>
      <c r="J11" s="19">
        <f>K11*1000</f>
        <v/>
      </c>
      <c r="K11" s="19" t="n"/>
      <c r="L11" s="19" t="n"/>
      <c r="M11" s="19" t="n"/>
      <c r="N11" s="19" t="n"/>
      <c r="O11" s="19" t="n"/>
      <c r="P11" s="34" t="n"/>
      <c r="Q11" s="19">
        <f>ROUND((L11*M11*N11)/1000000,3)</f>
        <v/>
      </c>
      <c r="R11" s="19" t="n"/>
      <c r="S11" s="19" t="n"/>
      <c r="T11" s="4" t="n"/>
      <c r="U11" s="4" t="n"/>
      <c r="V11" s="19" t="n"/>
      <c r="W11" s="19" t="n"/>
      <c r="X11" s="4">
        <f>AR11*(W11+35+10)</f>
        <v/>
      </c>
      <c r="Y11" s="4">
        <f>AR11*(W11+35+10+45)</f>
        <v/>
      </c>
      <c r="Z11" s="4">
        <f>AA11+AB11+AC11</f>
        <v/>
      </c>
      <c r="AA11" s="4" t="n"/>
      <c r="AB11" s="4" t="n"/>
      <c r="AC11" s="4" t="n"/>
      <c r="AD11" s="4">
        <f>AA11+AB11</f>
        <v/>
      </c>
      <c r="AE11" s="13">
        <f>IF(AD11&lt;=AT11,"库存不足",IF(AD11&gt;=AT11*1.5,"库存预警","库存正常"))</f>
        <v/>
      </c>
      <c r="AF11" s="4">
        <f>MAX(AT11-AA11-AB11,0)</f>
        <v/>
      </c>
      <c r="AG11" s="4">
        <f>MAX(X11-AD11,0)</f>
        <v/>
      </c>
      <c r="AH11" s="4">
        <f>AF11-AG11</f>
        <v/>
      </c>
      <c r="AI11" s="14">
        <f>AX11+(AA11+AB11)/AR11-60</f>
        <v/>
      </c>
      <c r="AJ11" s="4" t="n"/>
      <c r="AK11" s="15" t="n"/>
      <c r="AL11" s="15" t="n"/>
      <c r="AM11" s="15" t="n"/>
      <c r="AN11" s="15" t="n"/>
      <c r="AO11" s="4">
        <f>ROUND(AK11/7,0)</f>
        <v/>
      </c>
      <c r="AP11" s="4">
        <f>ROUND(AL11/15,0)</f>
        <v/>
      </c>
      <c r="AQ11" s="4">
        <f>ROUND(AM11/30,0)</f>
        <v/>
      </c>
      <c r="AR11" s="4" t="n"/>
      <c r="AS11" s="4" t="n"/>
      <c r="AT11" s="4">
        <f>AR11*(W11+7+30)</f>
        <v/>
      </c>
      <c r="AU11" s="4" t="n"/>
      <c r="AV11" s="4" t="n"/>
      <c r="AW11" s="4" t="n"/>
      <c r="AX11" s="14">
        <f>TODAY()</f>
        <v/>
      </c>
      <c r="AY11" s="4" t="n"/>
      <c r="AZ11" s="4" t="n"/>
      <c r="BA11" s="16" t="n"/>
      <c r="BB11" s="16" t="n"/>
      <c r="BC11" s="16" t="n"/>
    </row>
    <row r="12" ht="14.25" customHeight="1" s="31">
      <c r="A12" s="19" t="n"/>
      <c r="B12" s="19" t="n"/>
      <c r="C12" s="19" t="n"/>
      <c r="D12" s="19" t="n"/>
      <c r="E12" s="19" t="n"/>
      <c r="F12" s="19" t="n"/>
      <c r="G12" s="34" t="n"/>
      <c r="H12" s="34" t="n"/>
      <c r="I12" s="34" t="n"/>
      <c r="J12" s="19">
        <f>K12*1000</f>
        <v/>
      </c>
      <c r="K12" s="19" t="n"/>
      <c r="L12" s="19" t="n"/>
      <c r="M12" s="19" t="n"/>
      <c r="N12" s="19" t="n"/>
      <c r="O12" s="19" t="n"/>
      <c r="P12" s="34" t="n"/>
      <c r="Q12" s="19">
        <f>ROUND((L12*M12*N12)/1000000,3)</f>
        <v/>
      </c>
      <c r="R12" s="19" t="n"/>
      <c r="S12" s="19" t="n"/>
      <c r="T12" s="4" t="n"/>
      <c r="U12" s="4" t="n"/>
      <c r="V12" s="19" t="n"/>
      <c r="W12" s="19" t="n"/>
      <c r="X12" s="4">
        <f>AR12*(W12+35+10)</f>
        <v/>
      </c>
      <c r="Y12" s="4">
        <f>AR12*(W12+35+10+45)</f>
        <v/>
      </c>
      <c r="Z12" s="4">
        <f>AA12+AB12+AC12</f>
        <v/>
      </c>
      <c r="AA12" s="4" t="n"/>
      <c r="AB12" s="4" t="n"/>
      <c r="AC12" s="4" t="n"/>
      <c r="AD12" s="4">
        <f>AA12+AB12</f>
        <v/>
      </c>
      <c r="AE12" s="13">
        <f>IF(AD12&lt;=AT12,"库存不足",IF(AD12&gt;=AT12*1.5,"库存预警","库存正常"))</f>
        <v/>
      </c>
      <c r="AF12" s="4">
        <f>MAX(AT12-AA12-AB12,0)</f>
        <v/>
      </c>
      <c r="AG12" s="4">
        <f>MAX(X12-AD12,0)</f>
        <v/>
      </c>
      <c r="AH12" s="4">
        <f>AF12-AG12</f>
        <v/>
      </c>
      <c r="AI12" s="14">
        <f>AX12+(AA12+AB12)/AR12-60</f>
        <v/>
      </c>
      <c r="AJ12" s="4" t="n"/>
      <c r="AK12" s="15" t="n"/>
      <c r="AL12" s="15" t="n"/>
      <c r="AM12" s="15" t="n"/>
      <c r="AN12" s="15" t="n"/>
      <c r="AO12" s="4">
        <f>ROUND(AK12/7,0)</f>
        <v/>
      </c>
      <c r="AP12" s="4">
        <f>ROUND(AL12/15,0)</f>
        <v/>
      </c>
      <c r="AQ12" s="4">
        <f>ROUND(AM12/30,0)</f>
        <v/>
      </c>
      <c r="AR12" s="4" t="n"/>
      <c r="AS12" s="4" t="n"/>
      <c r="AT12" s="4">
        <f>AR12*(W12+7+30)</f>
        <v/>
      </c>
      <c r="AU12" s="4" t="n"/>
      <c r="AV12" s="4">
        <f>MAX(0,AT12-AD12-AC12)</f>
        <v/>
      </c>
      <c r="AW12" s="4" t="n"/>
      <c r="AX12" s="14">
        <f>TODAY()</f>
        <v/>
      </c>
      <c r="AY12" s="4" t="n"/>
      <c r="AZ12" s="4" t="n"/>
      <c r="BA12" s="16" t="n"/>
      <c r="BB12" s="16" t="n"/>
      <c r="BC12" s="16" t="n"/>
    </row>
    <row r="13" ht="14.25" customHeight="1" s="31">
      <c r="A13" s="19" t="n"/>
      <c r="B13" s="19" t="n"/>
      <c r="C13" s="19" t="n"/>
      <c r="D13" s="19" t="n"/>
      <c r="E13" s="19" t="n"/>
      <c r="F13" s="19" t="n"/>
      <c r="G13" s="34" t="n"/>
      <c r="H13" s="34" t="n"/>
      <c r="I13" s="34" t="n"/>
      <c r="J13" s="19">
        <f>K13*1000</f>
        <v/>
      </c>
      <c r="K13" s="19" t="n"/>
      <c r="L13" s="19" t="n"/>
      <c r="M13" s="19" t="n"/>
      <c r="N13" s="19" t="n"/>
      <c r="O13" s="19" t="n"/>
      <c r="P13" s="34" t="n"/>
      <c r="Q13" s="19">
        <f>ROUND((L13*M13*N13)/1000000,3)</f>
        <v/>
      </c>
      <c r="R13" s="19" t="n"/>
      <c r="S13" s="19" t="n"/>
      <c r="T13" s="4" t="n"/>
      <c r="U13" s="4" t="n"/>
      <c r="V13" s="19" t="n"/>
      <c r="W13" s="19" t="n"/>
      <c r="X13" s="4">
        <f>AR13*(W13+35+10)</f>
        <v/>
      </c>
      <c r="Y13" s="4">
        <f>AR13*(W13+35+10+45)</f>
        <v/>
      </c>
      <c r="Z13" s="4">
        <f>AA13+AB13+AC13</f>
        <v/>
      </c>
      <c r="AA13" s="4" t="n"/>
      <c r="AB13" s="4" t="n"/>
      <c r="AC13" s="4" t="n"/>
      <c r="AD13" s="4">
        <f>AA13+AB13</f>
        <v/>
      </c>
      <c r="AE13" s="13">
        <f>IF(AD13&lt;=AT13,"库存不足",IF(AD13&gt;=AT13*1.5,"库存预警","库存正常"))</f>
        <v/>
      </c>
      <c r="AF13" s="4">
        <f>MAX(AT13-AA13-AB13,0)</f>
        <v/>
      </c>
      <c r="AG13" s="4">
        <f>MAX(X13-AD13,0)</f>
        <v/>
      </c>
      <c r="AH13" s="4">
        <f>AF13-AG13</f>
        <v/>
      </c>
      <c r="AI13" s="14">
        <f>AX13+(AA13+AB13)/AR13-60</f>
        <v/>
      </c>
      <c r="AJ13" s="4" t="n"/>
      <c r="AK13" s="15" t="n"/>
      <c r="AL13" s="15" t="n"/>
      <c r="AM13" s="15" t="n"/>
      <c r="AN13" s="15" t="n"/>
      <c r="AO13" s="4">
        <f>ROUND(AK13/7,0)</f>
        <v/>
      </c>
      <c r="AP13" s="4">
        <f>ROUND(AL13/15,0)</f>
        <v/>
      </c>
      <c r="AQ13" s="4">
        <f>ROUND(AM13/30,0)</f>
        <v/>
      </c>
      <c r="AR13" s="4" t="n"/>
      <c r="AS13" s="4" t="n"/>
      <c r="AT13" s="4">
        <f>AR13*(W13+7+30)</f>
        <v/>
      </c>
      <c r="AU13" s="4" t="n"/>
      <c r="AV13" s="4">
        <f>MAX(0,AT13-AD13-AC13)</f>
        <v/>
      </c>
      <c r="AW13" s="4" t="n"/>
      <c r="AX13" s="14">
        <f>TODAY()</f>
        <v/>
      </c>
      <c r="AY13" s="4" t="n"/>
      <c r="AZ13" s="4" t="n"/>
      <c r="BA13" s="16" t="n"/>
      <c r="BB13" s="16" t="n"/>
      <c r="BC13" s="16" t="n"/>
    </row>
    <row r="14" ht="14.25" customHeight="1" s="31">
      <c r="A14" s="19" t="n"/>
      <c r="B14" s="19" t="n"/>
      <c r="C14" s="19" t="n"/>
      <c r="D14" s="19" t="n"/>
      <c r="E14" s="19" t="n"/>
      <c r="F14" s="19" t="n"/>
      <c r="G14" s="34" t="n"/>
      <c r="H14" s="34" t="n"/>
      <c r="I14" s="34" t="n"/>
      <c r="J14" s="19">
        <f>K14*1000</f>
        <v/>
      </c>
      <c r="K14" s="19" t="n"/>
      <c r="L14" s="19" t="n"/>
      <c r="M14" s="19" t="n"/>
      <c r="N14" s="19" t="n"/>
      <c r="O14" s="19" t="n"/>
      <c r="P14" s="34" t="n"/>
      <c r="Q14" s="19">
        <f>ROUND((L14*M14*N14)/1000000,3)</f>
        <v/>
      </c>
      <c r="R14" s="19" t="n"/>
      <c r="S14" s="19" t="n"/>
      <c r="T14" s="4" t="n"/>
      <c r="U14" s="4" t="n"/>
      <c r="V14" s="19" t="n"/>
      <c r="W14" s="19" t="n"/>
      <c r="X14" s="4">
        <f>AR14*(W14+35+10)</f>
        <v/>
      </c>
      <c r="Y14" s="4">
        <f>AR14*(W14+35+10+45)</f>
        <v/>
      </c>
      <c r="Z14" s="4">
        <f>AA14+AB14+AC14</f>
        <v/>
      </c>
      <c r="AA14" s="4" t="n"/>
      <c r="AB14" s="4" t="n"/>
      <c r="AC14" s="4" t="n"/>
      <c r="AD14" s="4">
        <f>AA14+AB14</f>
        <v/>
      </c>
      <c r="AE14" s="13">
        <f>IF(AD14&lt;=AT14,"库存不足",IF(AD14&gt;=AT14*1.5,"库存预警","库存正常"))</f>
        <v/>
      </c>
      <c r="AF14" s="4">
        <f>MAX(AT14-AA14-AB14,0)</f>
        <v/>
      </c>
      <c r="AG14" s="4">
        <f>MAX(X14-AD14,0)</f>
        <v/>
      </c>
      <c r="AH14" s="4">
        <f>AF14-AG14</f>
        <v/>
      </c>
      <c r="AI14" s="14">
        <f>AX14+(AA14+AB14)/AR14-60</f>
        <v/>
      </c>
      <c r="AJ14" s="4" t="n"/>
      <c r="AK14" s="15" t="n"/>
      <c r="AL14" s="15" t="n"/>
      <c r="AM14" s="15" t="n"/>
      <c r="AN14" s="15" t="n"/>
      <c r="AO14" s="4">
        <f>ROUND(AK14/7,0)</f>
        <v/>
      </c>
      <c r="AP14" s="4">
        <f>ROUND(AL14/15,0)</f>
        <v/>
      </c>
      <c r="AQ14" s="4">
        <f>ROUND(AM14/30,0)</f>
        <v/>
      </c>
      <c r="AR14" s="4" t="n"/>
      <c r="AS14" s="4" t="n"/>
      <c r="AT14" s="4">
        <f>AR14*(W14+7+30)</f>
        <v/>
      </c>
      <c r="AU14" s="4" t="n"/>
      <c r="AV14" s="4">
        <f>MAX(0,AT14-AD14-AC14)</f>
        <v/>
      </c>
      <c r="AW14" s="4" t="n"/>
      <c r="AX14" s="14">
        <f>TODAY()</f>
        <v/>
      </c>
      <c r="AY14" s="4" t="n"/>
      <c r="AZ14" s="4" t="n"/>
      <c r="BA14" s="16" t="n"/>
      <c r="BB14" s="16" t="n"/>
      <c r="BC14" s="16" t="n"/>
    </row>
    <row r="15" ht="14.25" customHeight="1" s="31">
      <c r="A15" s="19" t="n"/>
      <c r="B15" s="19" t="n"/>
      <c r="C15" s="19" t="n"/>
      <c r="D15" s="19" t="n"/>
      <c r="E15" s="19" t="n"/>
      <c r="F15" s="19" t="n"/>
      <c r="G15" s="34" t="n"/>
      <c r="H15" s="34" t="n"/>
      <c r="I15" s="34" t="n"/>
      <c r="J15" s="19">
        <f>K15*1000</f>
        <v/>
      </c>
      <c r="K15" s="19" t="n"/>
      <c r="L15" s="19" t="n"/>
      <c r="M15" s="19" t="n"/>
      <c r="N15" s="19" t="n"/>
      <c r="O15" s="19" t="n"/>
      <c r="P15" s="34" t="n"/>
      <c r="Q15" s="19">
        <f>ROUND((L15*M15*N15)/1000000,3)</f>
        <v/>
      </c>
      <c r="R15" s="19" t="n"/>
      <c r="S15" s="19" t="n"/>
      <c r="T15" s="4" t="n"/>
      <c r="U15" s="4" t="n"/>
      <c r="V15" s="19" t="n"/>
      <c r="W15" s="19" t="n"/>
      <c r="X15" s="4">
        <f>AR15*(W15+35+10)</f>
        <v/>
      </c>
      <c r="Y15" s="4">
        <f>AR15*(W15+35+10+45)</f>
        <v/>
      </c>
      <c r="Z15" s="4">
        <f>AA15+AB15+AC15</f>
        <v/>
      </c>
      <c r="AA15" s="4" t="n"/>
      <c r="AB15" s="4" t="n"/>
      <c r="AC15" s="4" t="n"/>
      <c r="AD15" s="4">
        <f>AA15+AB15</f>
        <v/>
      </c>
      <c r="AE15" s="13">
        <f>IF(AD15&lt;=AT15,"库存不足",IF(AD15&gt;=AT15*1.5,"库存预警","库存正常"))</f>
        <v/>
      </c>
      <c r="AF15" s="4">
        <f>MAX(AT15-AA15-AB15,0)</f>
        <v/>
      </c>
      <c r="AG15" s="4">
        <f>MAX(X15-AD15,0)</f>
        <v/>
      </c>
      <c r="AH15" s="4">
        <f>AF15-AG15</f>
        <v/>
      </c>
      <c r="AI15" s="14">
        <f>AX15+(AA15+AB15)/AR15-60</f>
        <v/>
      </c>
      <c r="AJ15" s="4" t="n"/>
      <c r="AK15" s="15" t="n"/>
      <c r="AL15" s="15" t="n"/>
      <c r="AM15" s="15" t="n"/>
      <c r="AN15" s="15" t="n"/>
      <c r="AO15" s="4">
        <f>ROUND(AK15/7,0)</f>
        <v/>
      </c>
      <c r="AP15" s="4">
        <f>ROUND(AL15/15,0)</f>
        <v/>
      </c>
      <c r="AQ15" s="4">
        <f>ROUND(AM15/30,0)</f>
        <v/>
      </c>
      <c r="AR15" s="4" t="n"/>
      <c r="AS15" s="4" t="n"/>
      <c r="AT15" s="4">
        <f>AR15*(W15+7+30)</f>
        <v/>
      </c>
      <c r="AU15" s="4" t="n"/>
      <c r="AV15" s="4">
        <f>MAX(0,AT15-AD15-AC15)</f>
        <v/>
      </c>
      <c r="AW15" s="4" t="n"/>
      <c r="AX15" s="14">
        <f>TODAY()</f>
        <v/>
      </c>
      <c r="AY15" s="4" t="n"/>
      <c r="AZ15" s="4" t="n"/>
      <c r="BA15" s="16" t="n"/>
      <c r="BB15" s="16" t="n"/>
      <c r="BC15" s="16" t="n"/>
    </row>
    <row r="16" ht="14.25" customHeight="1" s="31">
      <c r="A16" s="19" t="n"/>
      <c r="B16" s="19" t="n"/>
      <c r="C16" s="19" t="n"/>
      <c r="D16" s="19" t="n"/>
      <c r="E16" s="19" t="n"/>
      <c r="F16" s="19" t="n"/>
      <c r="G16" s="34" t="n"/>
      <c r="H16" s="34" t="n"/>
      <c r="I16" s="34" t="n"/>
      <c r="J16" s="19" t="n"/>
      <c r="K16" s="19" t="n"/>
      <c r="L16" s="19" t="n"/>
      <c r="M16" s="19" t="n"/>
      <c r="N16" s="19" t="n"/>
      <c r="O16" s="19" t="n"/>
      <c r="P16" s="19" t="n"/>
      <c r="Q16" s="19">
        <f>ROUND((L16*M16*N16)/1000000,3)</f>
        <v/>
      </c>
      <c r="R16" s="19" t="n"/>
      <c r="S16" s="19" t="n"/>
      <c r="T16" s="4" t="n"/>
      <c r="U16" s="4" t="n"/>
      <c r="V16" s="19" t="n"/>
      <c r="W16" s="19" t="n"/>
      <c r="X16" s="4">
        <f>AR16*(W16+35+10)</f>
        <v/>
      </c>
      <c r="Y16" s="4">
        <f>AR16*(W16+35+10+45)</f>
        <v/>
      </c>
      <c r="Z16" s="4">
        <f>AA16+AB16+AC16</f>
        <v/>
      </c>
      <c r="AA16" s="4" t="n"/>
      <c r="AB16" s="4" t="n"/>
      <c r="AC16" s="4" t="n"/>
      <c r="AD16" s="4">
        <f>AA16+AB16</f>
        <v/>
      </c>
      <c r="AE16" s="13">
        <f>IF(AD16&lt;=AT16,"库存不足",IF(AD16&gt;=AT16*1.5,"库存预警","库存正常"))</f>
        <v/>
      </c>
      <c r="AF16" s="4">
        <f>MAX(AT16-AA16-AB16,0)</f>
        <v/>
      </c>
      <c r="AG16" s="4">
        <f>MAX(X16-AD16,0)</f>
        <v/>
      </c>
      <c r="AH16" s="4">
        <f>AF16-AG16</f>
        <v/>
      </c>
      <c r="AI16" s="14">
        <f>AX16+(AA16+AB16)/AR16-60</f>
        <v/>
      </c>
      <c r="AJ16" s="4" t="n"/>
      <c r="AK16" s="15" t="n"/>
      <c r="AL16" s="15" t="n"/>
      <c r="AM16" s="15" t="n"/>
      <c r="AN16" s="15" t="n"/>
      <c r="AO16" s="4">
        <f>ROUND(AK16/7,0)</f>
        <v/>
      </c>
      <c r="AP16" s="4">
        <f>ROUND(AL16/15,0)</f>
        <v/>
      </c>
      <c r="AQ16" s="4">
        <f>ROUND(AM16/30,0)</f>
        <v/>
      </c>
      <c r="AR16" s="4" t="n"/>
      <c r="AS16" s="4" t="n"/>
      <c r="AT16" s="4">
        <f>AR16*(W16+7+30)</f>
        <v/>
      </c>
      <c r="AU16" s="4" t="n"/>
      <c r="AV16" s="4">
        <f>MAX(0,AT16-AD16-AC16)</f>
        <v/>
      </c>
      <c r="AW16" s="4" t="n"/>
      <c r="AX16" s="14">
        <f>TODAY()</f>
        <v/>
      </c>
      <c r="AY16" s="4" t="n"/>
      <c r="AZ16" s="4" t="n"/>
      <c r="BA16" s="16" t="n"/>
      <c r="BB16" s="16" t="n"/>
      <c r="BC16" s="16" t="n"/>
    </row>
    <row r="17" ht="14.25" customHeight="1" s="31">
      <c r="A17" s="19" t="n"/>
      <c r="B17" s="19" t="n"/>
      <c r="C17" s="19" t="n"/>
      <c r="D17" s="19" t="n"/>
      <c r="E17" s="19" t="n"/>
      <c r="F17" s="19" t="n"/>
      <c r="G17" s="34" t="n"/>
      <c r="H17" s="34" t="n"/>
      <c r="I17" s="34" t="n"/>
      <c r="J17" s="19">
        <f>K17*1000</f>
        <v/>
      </c>
      <c r="K17" s="19" t="n"/>
      <c r="L17" s="19" t="n"/>
      <c r="M17" s="19" t="n"/>
      <c r="N17" s="19" t="n"/>
      <c r="O17" s="19" t="n"/>
      <c r="P17" s="19" t="n"/>
      <c r="Q17" s="19">
        <f>ROUND((L17*M17*N17)/1000000,3)</f>
        <v/>
      </c>
      <c r="R17" s="19" t="n"/>
      <c r="S17" s="19" t="n"/>
      <c r="T17" s="4" t="n"/>
      <c r="U17" s="4" t="n"/>
      <c r="V17" s="19" t="n"/>
      <c r="W17" s="19" t="n"/>
      <c r="X17" s="4">
        <f>AR17*(W17+35+10)</f>
        <v/>
      </c>
      <c r="Y17" s="4">
        <f>AR17*(W17+35+10+45)</f>
        <v/>
      </c>
      <c r="Z17" s="4">
        <f>AA17+AB17+AC17</f>
        <v/>
      </c>
      <c r="AA17" s="4" t="n"/>
      <c r="AB17" s="4" t="n"/>
      <c r="AC17" s="4" t="n"/>
      <c r="AD17" s="4">
        <f>AA17+AB17</f>
        <v/>
      </c>
      <c r="AE17" s="13">
        <f>IF(AD17&lt;=AT17,"库存不足",IF(AD17&gt;=AT17*1.5,"库存预警","库存正常"))</f>
        <v/>
      </c>
      <c r="AF17" s="4">
        <f>MAX(AT17-AA17-AB17,0)</f>
        <v/>
      </c>
      <c r="AG17" s="4">
        <f>MAX(X17-AD17,0)</f>
        <v/>
      </c>
      <c r="AH17" s="4">
        <f>AF17-AG17</f>
        <v/>
      </c>
      <c r="AI17" s="14">
        <f>AX17+(AA17+AB17)/AR17-60</f>
        <v/>
      </c>
      <c r="AJ17" s="4" t="n"/>
      <c r="AK17" s="15" t="n"/>
      <c r="AL17" s="15" t="n"/>
      <c r="AM17" s="15" t="n"/>
      <c r="AN17" s="15" t="n"/>
      <c r="AO17" s="4">
        <f>ROUND(AK17/7,0)</f>
        <v/>
      </c>
      <c r="AP17" s="4">
        <f>ROUND(AL17/15,0)</f>
        <v/>
      </c>
      <c r="AQ17" s="4">
        <f>ROUND(AM17/30,0)</f>
        <v/>
      </c>
      <c r="AR17" s="4" t="n"/>
      <c r="AS17" s="4" t="n"/>
      <c r="AT17" s="4">
        <f>AR17*(W17+7+30)</f>
        <v/>
      </c>
      <c r="AU17" s="4" t="n"/>
      <c r="AV17" s="4">
        <f>MAX(0,AT17-AD17-AC17)</f>
        <v/>
      </c>
      <c r="AW17" s="4" t="n"/>
      <c r="AX17" s="14">
        <f>TODAY()</f>
        <v/>
      </c>
      <c r="AY17" s="4" t="n"/>
      <c r="AZ17" s="4" t="n"/>
      <c r="BA17" s="16" t="n"/>
      <c r="BB17" s="16" t="n"/>
      <c r="BC17" s="16" t="n"/>
    </row>
    <row r="18" ht="14.25" customHeight="1" s="31">
      <c r="A18" s="19" t="n"/>
      <c r="B18" s="19" t="n"/>
      <c r="C18" s="19" t="n"/>
      <c r="D18" s="19" t="n"/>
      <c r="E18" s="19" t="n"/>
      <c r="F18" s="19" t="n"/>
      <c r="G18" s="34" t="n"/>
      <c r="H18" s="34" t="n"/>
      <c r="I18" s="34" t="n"/>
      <c r="J18" s="19">
        <f>K18*1000</f>
        <v/>
      </c>
      <c r="K18" s="19" t="n"/>
      <c r="L18" s="19" t="n"/>
      <c r="M18" s="19" t="n"/>
      <c r="N18" s="19" t="n"/>
      <c r="O18" s="19" t="n"/>
      <c r="P18" s="19" t="n"/>
      <c r="Q18" s="19">
        <f>ROUND((L18*M18*N18)/1000000,3)</f>
        <v/>
      </c>
      <c r="R18" s="19" t="n"/>
      <c r="S18" s="19" t="n"/>
      <c r="T18" s="4" t="n"/>
      <c r="U18" s="4" t="n"/>
      <c r="V18" s="19" t="n"/>
      <c r="W18" s="19" t="n"/>
      <c r="X18" s="4">
        <f>AR18*(W18+35+10)</f>
        <v/>
      </c>
      <c r="Y18" s="4">
        <f>AR18*(W18+35+10+45)</f>
        <v/>
      </c>
      <c r="Z18" s="4">
        <f>AA18+AB18+AC18</f>
        <v/>
      </c>
      <c r="AA18" s="4" t="n"/>
      <c r="AB18" s="4" t="n"/>
      <c r="AC18" s="4" t="n"/>
      <c r="AD18" s="4">
        <f>AA18+AB18</f>
        <v/>
      </c>
      <c r="AE18" s="13">
        <f>IF(AD18&lt;=AT18,"库存不足",IF(AD18&gt;=AT18*1.5,"库存预警","库存正常"))</f>
        <v/>
      </c>
      <c r="AF18" s="4">
        <f>MAX(AT18-AA18-AB18,0)</f>
        <v/>
      </c>
      <c r="AG18" s="4">
        <f>MAX(X18-AD18,0)</f>
        <v/>
      </c>
      <c r="AH18" s="4">
        <f>AF18-AG18</f>
        <v/>
      </c>
      <c r="AI18" s="14">
        <f>AX18+(AA18+AB18)/AR18-60</f>
        <v/>
      </c>
      <c r="AJ18" s="4" t="n"/>
      <c r="AK18" s="15" t="n"/>
      <c r="AL18" s="15" t="n"/>
      <c r="AM18" s="15" t="n"/>
      <c r="AN18" s="15" t="n"/>
      <c r="AO18" s="4">
        <f>ROUND(AK18/7,0)</f>
        <v/>
      </c>
      <c r="AP18" s="4">
        <f>ROUND(AL18/15,0)</f>
        <v/>
      </c>
      <c r="AQ18" s="4">
        <f>ROUND(AM18/30,0)</f>
        <v/>
      </c>
      <c r="AR18" s="4" t="n"/>
      <c r="AS18" s="4" t="n"/>
      <c r="AT18" s="4">
        <f>AR18*(W18+7+30)</f>
        <v/>
      </c>
      <c r="AU18" s="4" t="n"/>
      <c r="AV18" s="4">
        <f>MAX(0,AT18-AD18-AC18)</f>
        <v/>
      </c>
      <c r="AW18" s="4" t="n"/>
      <c r="AX18" s="14">
        <f>TODAY()</f>
        <v/>
      </c>
      <c r="AY18" s="4" t="n"/>
      <c r="AZ18" s="4" t="n"/>
      <c r="BA18" s="16" t="n"/>
      <c r="BB18" s="16" t="n"/>
      <c r="BC18" s="16" t="n"/>
    </row>
    <row r="19" ht="14.25" customHeight="1" s="31">
      <c r="A19" s="19" t="n"/>
      <c r="B19" s="19" t="n"/>
      <c r="C19" s="19" t="n"/>
      <c r="D19" s="19" t="n"/>
      <c r="E19" s="19" t="n"/>
      <c r="F19" s="19" t="n"/>
      <c r="G19" s="34" t="n"/>
      <c r="H19" s="34" t="n"/>
      <c r="I19" s="34" t="n"/>
      <c r="J19" s="19">
        <f>K19*1000</f>
        <v/>
      </c>
      <c r="K19" s="19" t="n"/>
      <c r="L19" s="19" t="n"/>
      <c r="M19" s="19" t="n"/>
      <c r="N19" s="19" t="n"/>
      <c r="O19" s="19" t="n"/>
      <c r="P19" s="19" t="n"/>
      <c r="Q19" s="19">
        <f>ROUND((L19*M19*N19)/1000000,3)</f>
        <v/>
      </c>
      <c r="R19" s="19" t="n"/>
      <c r="S19" s="19" t="n"/>
      <c r="T19" s="4" t="n"/>
      <c r="U19" s="4" t="n"/>
      <c r="V19" s="19" t="n"/>
      <c r="W19" s="19" t="n"/>
      <c r="X19" s="4">
        <f>AR19*(W19+35+10)</f>
        <v/>
      </c>
      <c r="Y19" s="4">
        <f>AR19*(W19+35+10+45)</f>
        <v/>
      </c>
      <c r="Z19" s="4">
        <f>AA19+AB19+AC19</f>
        <v/>
      </c>
      <c r="AA19" s="4" t="n"/>
      <c r="AB19" s="4" t="n"/>
      <c r="AC19" s="4" t="n"/>
      <c r="AD19" s="4">
        <f>AA19+AB19</f>
        <v/>
      </c>
      <c r="AE19" s="13">
        <f>IF(AD19&lt;=AT19,"库存不足",IF(AD19&gt;=AT19*1.5,"库存预警","库存正常"))</f>
        <v/>
      </c>
      <c r="AF19" s="4">
        <f>MAX(AT19-AA19-AB19,0)</f>
        <v/>
      </c>
      <c r="AG19" s="4">
        <f>MAX(X19-AD19,0)</f>
        <v/>
      </c>
      <c r="AH19" s="4">
        <f>AF19-AG19</f>
        <v/>
      </c>
      <c r="AI19" s="14">
        <f>AX19+(AA19+AB19)/AR19-60</f>
        <v/>
      </c>
      <c r="AJ19" s="4" t="n"/>
      <c r="AK19" s="15" t="n"/>
      <c r="AL19" s="15" t="n"/>
      <c r="AM19" s="15" t="n"/>
      <c r="AN19" s="15" t="n"/>
      <c r="AO19" s="4">
        <f>ROUND(AK19/7,0)</f>
        <v/>
      </c>
      <c r="AP19" s="4">
        <f>ROUND(AL19/15,0)</f>
        <v/>
      </c>
      <c r="AQ19" s="4">
        <f>ROUND(AM19/30,0)</f>
        <v/>
      </c>
      <c r="AR19" s="4" t="n"/>
      <c r="AS19" s="4" t="n"/>
      <c r="AT19" s="4">
        <f>AR19*(W19+7+30)</f>
        <v/>
      </c>
      <c r="AU19" s="4" t="n"/>
      <c r="AV19" s="4">
        <f>MAX(0,AT19-AD19-AC19)</f>
        <v/>
      </c>
      <c r="AW19" s="4" t="n"/>
      <c r="AX19" s="14">
        <f>TODAY()</f>
        <v/>
      </c>
      <c r="AY19" s="4" t="n"/>
      <c r="AZ19" s="4" t="n"/>
      <c r="BA19" s="16" t="n"/>
      <c r="BB19" s="16" t="n"/>
      <c r="BC19" s="16" t="n"/>
    </row>
    <row r="20" ht="14.25" customHeight="1" s="31">
      <c r="A20" s="19" t="n"/>
      <c r="B20" s="19" t="n"/>
      <c r="C20" s="19" t="n"/>
      <c r="D20" s="19" t="n"/>
      <c r="E20" s="19" t="n"/>
      <c r="F20" s="19" t="n"/>
      <c r="G20" s="34" t="n"/>
      <c r="H20" s="34" t="n"/>
      <c r="I20" s="34" t="n"/>
      <c r="J20" s="19">
        <f>K20*1000</f>
        <v/>
      </c>
      <c r="K20" s="19" t="n"/>
      <c r="L20" s="19" t="n"/>
      <c r="M20" s="19" t="n"/>
      <c r="N20" s="19" t="n"/>
      <c r="O20" s="19" t="n"/>
      <c r="P20" s="19" t="n"/>
      <c r="Q20" s="19">
        <f>ROUND((L20*M20*N20)/1000000,3)</f>
        <v/>
      </c>
      <c r="R20" s="19" t="n"/>
      <c r="S20" s="19" t="n"/>
      <c r="T20" s="4" t="n"/>
      <c r="U20" s="4" t="n"/>
      <c r="V20" s="19" t="n"/>
      <c r="W20" s="19" t="n"/>
      <c r="X20" s="4">
        <f>AR20*(W20+35+10)</f>
        <v/>
      </c>
      <c r="Y20" s="4">
        <f>AR20*(W20+35+10+45)</f>
        <v/>
      </c>
      <c r="Z20" s="4">
        <f>AA20+AB20+AC20</f>
        <v/>
      </c>
      <c r="AA20" s="4" t="n"/>
      <c r="AB20" s="4" t="n"/>
      <c r="AC20" s="4" t="n"/>
      <c r="AD20" s="4">
        <f>AA20+AB20</f>
        <v/>
      </c>
      <c r="AE20" s="13">
        <f>IF(AD20&lt;=AT20,"库存不足",IF(AD20&gt;=AT20*1.5,"库存预警","库存正常"))</f>
        <v/>
      </c>
      <c r="AF20" s="4">
        <f>MAX(AT20-AA20-AB20,0)</f>
        <v/>
      </c>
      <c r="AG20" s="4">
        <f>MAX(X20-AD20,0)</f>
        <v/>
      </c>
      <c r="AH20" s="4">
        <f>AF20-AG20</f>
        <v/>
      </c>
      <c r="AI20" s="14">
        <f>AX20+(AA20+AB20)/AR20-60</f>
        <v/>
      </c>
      <c r="AJ20" s="4" t="n"/>
      <c r="AK20" s="15" t="n"/>
      <c r="AL20" s="15" t="n"/>
      <c r="AM20" s="15" t="n"/>
      <c r="AN20" s="15" t="n"/>
      <c r="AO20" s="4">
        <f>ROUND(AK20/7,0)</f>
        <v/>
      </c>
      <c r="AP20" s="4">
        <f>ROUND(AL20/15,0)</f>
        <v/>
      </c>
      <c r="AQ20" s="4">
        <f>ROUND(AM20/30,0)</f>
        <v/>
      </c>
      <c r="AR20" s="4" t="n"/>
      <c r="AS20" s="4" t="n"/>
      <c r="AT20" s="4">
        <f>AR20*(W20+7+30)</f>
        <v/>
      </c>
      <c r="AU20" s="4" t="n"/>
      <c r="AV20" s="4">
        <f>MAX(0,AT20-AD20-AC20)</f>
        <v/>
      </c>
      <c r="AW20" s="4" t="n"/>
      <c r="AX20" s="14">
        <f>TODAY()</f>
        <v/>
      </c>
      <c r="AY20" s="4" t="n"/>
      <c r="AZ20" s="4" t="n"/>
      <c r="BA20" s="16" t="n"/>
      <c r="BB20" s="16" t="n"/>
      <c r="BC20" s="16" t="n"/>
    </row>
    <row r="21" ht="14.25" customHeight="1" s="31">
      <c r="A21" s="19" t="n"/>
      <c r="B21" s="19" t="n"/>
      <c r="C21" s="19" t="n"/>
      <c r="D21" s="19" t="n"/>
      <c r="E21" s="19" t="n"/>
      <c r="F21" s="19" t="n"/>
      <c r="G21" s="34" t="n"/>
      <c r="H21" s="34" t="n"/>
      <c r="I21" s="34" t="n"/>
      <c r="J21" s="19" t="n"/>
      <c r="K21" s="19" t="n"/>
      <c r="L21" s="19" t="n"/>
      <c r="M21" s="19" t="n"/>
      <c r="N21" s="19" t="n"/>
      <c r="O21" s="19" t="n"/>
      <c r="P21" s="19" t="n"/>
      <c r="Q21" s="19">
        <f>ROUND((L21*M21*N21)/1000000,3)</f>
        <v/>
      </c>
      <c r="R21" s="19" t="n"/>
      <c r="S21" s="19" t="n"/>
      <c r="T21" s="4" t="n"/>
      <c r="U21" s="4" t="n"/>
      <c r="V21" s="19" t="n"/>
      <c r="W21" s="19" t="n"/>
      <c r="X21" s="4">
        <f>AR21*(W21+35+10)</f>
        <v/>
      </c>
      <c r="Y21" s="4">
        <f>AR21*(W21+35+10+45)</f>
        <v/>
      </c>
      <c r="Z21" s="4">
        <f>AA21+AB21+AC21</f>
        <v/>
      </c>
      <c r="AA21" s="4" t="n"/>
      <c r="AB21" s="4" t="n"/>
      <c r="AC21" s="4" t="n"/>
      <c r="AD21" s="4">
        <f>AA21+AB21</f>
        <v/>
      </c>
      <c r="AE21" s="13">
        <f>IF(AD21&lt;=AT21,"库存不足",IF(AD21&gt;=AT21*1.5,"库存预警","库存正常"))</f>
        <v/>
      </c>
      <c r="AF21" s="4">
        <f>MAX(AT21-AA21-AB21,0)</f>
        <v/>
      </c>
      <c r="AG21" s="4">
        <f>MAX(X21-AD21,0)</f>
        <v/>
      </c>
      <c r="AH21" s="4">
        <f>AF21-AG21</f>
        <v/>
      </c>
      <c r="AI21" s="14">
        <f>AX21+(AA21+AB21)/AR21-60</f>
        <v/>
      </c>
      <c r="AJ21" s="4" t="n"/>
      <c r="AK21" s="15" t="n"/>
      <c r="AL21" s="15" t="n"/>
      <c r="AM21" s="15" t="n"/>
      <c r="AN21" s="15" t="n"/>
      <c r="AO21" s="4">
        <f>ROUND(AK21/7,0)</f>
        <v/>
      </c>
      <c r="AP21" s="4">
        <f>ROUND(AL21/15,0)</f>
        <v/>
      </c>
      <c r="AQ21" s="4">
        <f>ROUND(AM21/30,0)</f>
        <v/>
      </c>
      <c r="AR21" s="4" t="n"/>
      <c r="AS21" s="4" t="n"/>
      <c r="AT21" s="4">
        <f>AR21*(W21+7+30)</f>
        <v/>
      </c>
      <c r="AU21" s="4" t="n"/>
      <c r="AV21" s="4">
        <f>MAX(0,AT21-AD21-AC21)</f>
        <v/>
      </c>
      <c r="AW21" s="4" t="n"/>
      <c r="AX21" s="14">
        <f>TODAY()</f>
        <v/>
      </c>
      <c r="AY21" s="4" t="n"/>
      <c r="AZ21" s="4" t="n"/>
      <c r="BA21" s="16" t="n"/>
      <c r="BB21" s="16" t="n"/>
      <c r="BC21" s="16" t="n"/>
    </row>
    <row r="22" ht="14.25" customHeight="1" s="31">
      <c r="A22" s="19" t="n"/>
      <c r="B22" s="19" t="n"/>
      <c r="C22" s="19" t="n"/>
      <c r="D22" s="19" t="n"/>
      <c r="E22" s="19" t="n"/>
      <c r="F22" s="19" t="n"/>
      <c r="G22" s="34" t="n"/>
      <c r="H22" s="34" t="n"/>
      <c r="I22" s="34" t="n"/>
      <c r="J22" s="19">
        <f>K22*1000</f>
        <v/>
      </c>
      <c r="K22" s="19" t="n"/>
      <c r="L22" s="19" t="n"/>
      <c r="M22" s="19" t="n"/>
      <c r="N22" s="19" t="n"/>
      <c r="O22" s="19" t="n"/>
      <c r="P22" s="19" t="n"/>
      <c r="Q22" s="19">
        <f>ROUND((L22*M22*N22)/1000000,3)</f>
        <v/>
      </c>
      <c r="R22" s="19" t="n"/>
      <c r="S22" s="19" t="n"/>
      <c r="T22" s="4" t="n"/>
      <c r="U22" s="4" t="n"/>
      <c r="V22" s="19" t="n"/>
      <c r="W22" s="19" t="n"/>
      <c r="X22" s="4">
        <f>AR22*(W22+35+10)</f>
        <v/>
      </c>
      <c r="Y22" s="4">
        <f>AR22*(W22+35+10+45)</f>
        <v/>
      </c>
      <c r="Z22" s="4">
        <f>AA22+AB22+AC22</f>
        <v/>
      </c>
      <c r="AA22" s="4" t="n"/>
      <c r="AB22" s="4" t="n"/>
      <c r="AC22" s="4" t="n"/>
      <c r="AD22" s="4">
        <f>AA22+AB22</f>
        <v/>
      </c>
      <c r="AE22" s="13">
        <f>IF(AD22&lt;=AT22,"库存不足",IF(AD22&gt;=AT22*1.5,"库存预警","库存正常"))</f>
        <v/>
      </c>
      <c r="AF22" s="4">
        <f>MAX(AT22-AA22-AB22,0)</f>
        <v/>
      </c>
      <c r="AG22" s="4">
        <f>MAX(X22-AD22,0)</f>
        <v/>
      </c>
      <c r="AH22" s="4">
        <f>AF22-AG22</f>
        <v/>
      </c>
      <c r="AI22" s="14">
        <f>AX22+(AA22+AB22)/AR22-60</f>
        <v/>
      </c>
      <c r="AJ22" s="4" t="n"/>
      <c r="AK22" s="15" t="n"/>
      <c r="AL22" s="15" t="n"/>
      <c r="AM22" s="15" t="n"/>
      <c r="AN22" s="15" t="n"/>
      <c r="AO22" s="4">
        <f>ROUND(AK22/7,0)</f>
        <v/>
      </c>
      <c r="AP22" s="4">
        <f>ROUND(AL22/15,0)</f>
        <v/>
      </c>
      <c r="AQ22" s="4">
        <f>ROUND(AM22/30,0)</f>
        <v/>
      </c>
      <c r="AR22" s="4" t="n"/>
      <c r="AS22" s="4" t="n"/>
      <c r="AT22" s="4">
        <f>AR22*(W22+7+30)</f>
        <v/>
      </c>
      <c r="AU22" s="4" t="n"/>
      <c r="AV22" s="4">
        <f>MAX(0,AT22-AD22-AC22)</f>
        <v/>
      </c>
      <c r="AW22" s="4" t="n"/>
      <c r="AX22" s="14">
        <f>TODAY()</f>
        <v/>
      </c>
      <c r="AY22" s="4" t="n"/>
      <c r="AZ22" s="4" t="n"/>
      <c r="BA22" s="16" t="n"/>
      <c r="BB22" s="16" t="n"/>
      <c r="BC22" s="16" t="n"/>
    </row>
    <row r="23" ht="14.25" customHeight="1" s="31">
      <c r="A23" s="19" t="n"/>
      <c r="B23" s="19" t="n"/>
      <c r="C23" s="19" t="n"/>
      <c r="D23" s="19" t="n"/>
      <c r="E23" s="19" t="n"/>
      <c r="F23" s="19" t="n"/>
      <c r="G23" s="34" t="n"/>
      <c r="H23" s="34" t="n"/>
      <c r="I23" s="34" t="n"/>
      <c r="J23" s="19" t="n"/>
      <c r="K23" s="19" t="n"/>
      <c r="L23" s="19" t="n"/>
      <c r="M23" s="19" t="n"/>
      <c r="N23" s="19" t="n"/>
      <c r="O23" s="19" t="n"/>
      <c r="P23" s="19" t="n"/>
      <c r="Q23" s="19">
        <f>ROUND((L23*M23*N23)/1000000,3)</f>
        <v/>
      </c>
      <c r="R23" s="19" t="n"/>
      <c r="S23" s="19" t="n"/>
      <c r="T23" s="4" t="n"/>
      <c r="U23" s="4" t="n"/>
      <c r="V23" s="19" t="n"/>
      <c r="W23" s="19" t="n"/>
      <c r="X23" s="4">
        <f>AR23*(W23+35+10)</f>
        <v/>
      </c>
      <c r="Y23" s="4">
        <f>AR23*(W23+35+10+45)</f>
        <v/>
      </c>
      <c r="Z23" s="4">
        <f>AA23+AB23+AC23</f>
        <v/>
      </c>
      <c r="AA23" s="4" t="n"/>
      <c r="AB23" s="4" t="n"/>
      <c r="AC23" s="4" t="n"/>
      <c r="AD23" s="4">
        <f>AA23+AB23</f>
        <v/>
      </c>
      <c r="AE23" s="13">
        <f>IF(AD23&lt;=AT23,"库存不足",IF(AD23&gt;=AT23*1.5,"库存预警","库存正常"))</f>
        <v/>
      </c>
      <c r="AF23" s="4">
        <f>MAX(AT23-AA23-AB23,0)</f>
        <v/>
      </c>
      <c r="AG23" s="4">
        <f>MAX(X23-AD23,0)</f>
        <v/>
      </c>
      <c r="AH23" s="4">
        <f>AF23-AG23</f>
        <v/>
      </c>
      <c r="AI23" s="14">
        <f>AX23+(AA23+AB23)/AR23-60</f>
        <v/>
      </c>
      <c r="AJ23" s="4" t="n"/>
      <c r="AK23" s="15" t="n"/>
      <c r="AL23" s="15" t="n"/>
      <c r="AM23" s="15" t="n"/>
      <c r="AN23" s="15" t="n"/>
      <c r="AO23" s="4">
        <f>ROUND(AK23/7,0)</f>
        <v/>
      </c>
      <c r="AP23" s="4">
        <f>ROUND(AL23/15,0)</f>
        <v/>
      </c>
      <c r="AQ23" s="4">
        <f>ROUND(AM23/30,0)</f>
        <v/>
      </c>
      <c r="AR23" s="4" t="n"/>
      <c r="AS23" s="4" t="n"/>
      <c r="AT23" s="4">
        <f>AR23*(W23+7+30)</f>
        <v/>
      </c>
      <c r="AU23" s="4" t="n"/>
      <c r="AV23" s="4">
        <f>MAX(0,AT23-AD23-AC23)</f>
        <v/>
      </c>
      <c r="AW23" s="4" t="n"/>
      <c r="AX23" s="14">
        <f>TODAY()</f>
        <v/>
      </c>
      <c r="AY23" s="4" t="n"/>
      <c r="AZ23" s="4" t="n"/>
      <c r="BA23" s="16" t="n"/>
      <c r="BB23" s="16" t="n"/>
      <c r="BC23" s="16" t="n"/>
    </row>
    <row r="24" ht="14.25" customHeight="1" s="31">
      <c r="A24" s="19" t="n"/>
      <c r="B24" s="19" t="n"/>
      <c r="C24" s="19" t="n"/>
      <c r="D24" s="19" t="n"/>
      <c r="E24" s="19" t="n"/>
      <c r="F24" s="19" t="n"/>
      <c r="G24" s="34" t="n"/>
      <c r="H24" s="34" t="n"/>
      <c r="I24" s="34" t="n"/>
      <c r="J24" s="19" t="n"/>
      <c r="K24" s="19" t="n"/>
      <c r="L24" s="19" t="n"/>
      <c r="M24" s="19" t="n"/>
      <c r="N24" s="19" t="n"/>
      <c r="O24" s="19" t="n"/>
      <c r="P24" s="19" t="n"/>
      <c r="Q24" s="19">
        <f>ROUND((L24*M24*N24)/1000000,3)</f>
        <v/>
      </c>
      <c r="R24" s="19" t="n"/>
      <c r="S24" s="19" t="n"/>
      <c r="T24" s="4" t="n"/>
      <c r="U24" s="4" t="n"/>
      <c r="V24" s="19" t="n"/>
      <c r="W24" s="19" t="n"/>
      <c r="X24" s="4">
        <f>AR24*(W24+35+10)</f>
        <v/>
      </c>
      <c r="Y24" s="4">
        <f>AR24*(W24+35+10+45)</f>
        <v/>
      </c>
      <c r="Z24" s="4">
        <f>AA24+AB24+AC24</f>
        <v/>
      </c>
      <c r="AA24" s="4" t="n"/>
      <c r="AB24" s="4" t="n"/>
      <c r="AC24" s="4" t="n"/>
      <c r="AD24" s="4">
        <f>AA24+AB24</f>
        <v/>
      </c>
      <c r="AE24" s="13">
        <f>IF(AD24&lt;=AT24,"库存不足",IF(AD24&gt;=AT24*1.5,"库存预警","库存正常"))</f>
        <v/>
      </c>
      <c r="AF24" s="4">
        <f>MAX(AT24-AA24-AB24,0)</f>
        <v/>
      </c>
      <c r="AG24" s="4">
        <f>MAX(X24-AD24,0)</f>
        <v/>
      </c>
      <c r="AH24" s="4">
        <f>AF24-AG24</f>
        <v/>
      </c>
      <c r="AI24" s="14">
        <f>AX24+(AA24+AB24)/AR24-60</f>
        <v/>
      </c>
      <c r="AJ24" s="4" t="n"/>
      <c r="AK24" s="15" t="n"/>
      <c r="AL24" s="15" t="n"/>
      <c r="AM24" s="15" t="n"/>
      <c r="AN24" s="15" t="n"/>
      <c r="AO24" s="4">
        <f>ROUND(AK24/7,0)</f>
        <v/>
      </c>
      <c r="AP24" s="4">
        <f>ROUND(AL24/15,0)</f>
        <v/>
      </c>
      <c r="AQ24" s="4">
        <f>ROUND(AM24/30,0)</f>
        <v/>
      </c>
      <c r="AR24" s="4" t="n"/>
      <c r="AS24" s="4" t="n"/>
      <c r="AT24" s="4">
        <f>AR24*(W24+7+30)</f>
        <v/>
      </c>
      <c r="AU24" s="4" t="n"/>
      <c r="AV24" s="4">
        <f>MAX(0,AT24-AD24-AC24)</f>
        <v/>
      </c>
      <c r="AW24" s="4" t="n"/>
      <c r="AX24" s="14">
        <f>TODAY()</f>
        <v/>
      </c>
      <c r="AY24" s="4" t="n"/>
      <c r="AZ24" s="4" t="n"/>
      <c r="BA24" s="16" t="n"/>
      <c r="BB24" s="16" t="n"/>
      <c r="BC24" s="16" t="n"/>
    </row>
    <row r="25" ht="14.25" customHeight="1" s="31">
      <c r="A25" s="19" t="n"/>
      <c r="B25" s="19" t="n"/>
      <c r="C25" s="19" t="n"/>
      <c r="D25" s="19" t="n"/>
      <c r="E25" s="19" t="n"/>
      <c r="F25" s="19" t="n"/>
      <c r="G25" s="34" t="n"/>
      <c r="H25" s="34" t="n"/>
      <c r="I25" s="34" t="n"/>
      <c r="J25" s="19" t="n"/>
      <c r="K25" s="19" t="n"/>
      <c r="L25" s="19" t="n"/>
      <c r="M25" s="19" t="n"/>
      <c r="N25" s="19" t="n"/>
      <c r="O25" s="19" t="n"/>
      <c r="P25" s="19" t="n"/>
      <c r="Q25" s="19">
        <f>ROUND((L25*M25*N25)/1000000,3)</f>
        <v/>
      </c>
      <c r="R25" s="19" t="n"/>
      <c r="S25" s="19" t="n"/>
      <c r="T25" s="4" t="n"/>
      <c r="U25" s="4" t="n"/>
      <c r="V25" s="19" t="n"/>
      <c r="W25" s="19" t="n"/>
      <c r="X25" s="4">
        <f>AR25*(W25+35+10)</f>
        <v/>
      </c>
      <c r="Y25" s="4">
        <f>AR25*(W25+35+10+45)</f>
        <v/>
      </c>
      <c r="Z25" s="4">
        <f>AA25+AB25+AC25</f>
        <v/>
      </c>
      <c r="AA25" s="4" t="n"/>
      <c r="AB25" s="4" t="n"/>
      <c r="AC25" s="4" t="n"/>
      <c r="AD25" s="4">
        <f>AA25+AB25</f>
        <v/>
      </c>
      <c r="AE25" s="13">
        <f>IF(AD25&lt;=AT25,"库存不足",IF(AD25&gt;=AT25*1.5,"库存预警","库存正常"))</f>
        <v/>
      </c>
      <c r="AF25" s="4">
        <f>MAX(AT25-AA25-AB25,0)</f>
        <v/>
      </c>
      <c r="AG25" s="4">
        <f>MAX(X25-AD25,0)</f>
        <v/>
      </c>
      <c r="AH25" s="4">
        <f>AF25-AG25</f>
        <v/>
      </c>
      <c r="AI25" s="14">
        <f>AX25+(AA25+AB25)/AR25-60</f>
        <v/>
      </c>
      <c r="AJ25" s="4" t="n"/>
      <c r="AK25" s="15" t="n"/>
      <c r="AL25" s="15" t="n"/>
      <c r="AM25" s="15" t="n"/>
      <c r="AN25" s="15" t="n"/>
      <c r="AO25" s="4">
        <f>ROUND(AK25/7,0)</f>
        <v/>
      </c>
      <c r="AP25" s="4">
        <f>ROUND(AL25/15,0)</f>
        <v/>
      </c>
      <c r="AQ25" s="4">
        <f>ROUND(AM25/30,0)</f>
        <v/>
      </c>
      <c r="AR25" s="4" t="n"/>
      <c r="AS25" s="4" t="n"/>
      <c r="AT25" s="4">
        <f>AR25*(W25+7+30)</f>
        <v/>
      </c>
      <c r="AU25" s="4" t="n"/>
      <c r="AV25" s="4">
        <f>MAX(0,AT25-AD25-AC25)</f>
        <v/>
      </c>
      <c r="AW25" s="4" t="n"/>
      <c r="AX25" s="14">
        <f>TODAY()</f>
        <v/>
      </c>
      <c r="AY25" s="4" t="n"/>
      <c r="AZ25" s="4" t="n"/>
      <c r="BA25" s="16" t="n"/>
      <c r="BB25" s="16" t="n"/>
      <c r="BC25" s="16" t="n"/>
    </row>
    <row r="26" ht="14.25" customHeight="1" s="31">
      <c r="A26" s="19" t="n"/>
      <c r="B26" s="19" t="n"/>
      <c r="C26" s="19" t="n"/>
      <c r="D26" s="19" t="n"/>
      <c r="E26" s="19" t="n"/>
      <c r="F26" s="19" t="n"/>
      <c r="G26" s="34" t="n"/>
      <c r="H26" s="34" t="n"/>
      <c r="I26" s="34" t="n"/>
      <c r="J26" s="19">
        <f>K26*1000</f>
        <v/>
      </c>
      <c r="K26" s="19" t="n"/>
      <c r="L26" s="19" t="n"/>
      <c r="M26" s="19" t="n"/>
      <c r="N26" s="19" t="n"/>
      <c r="O26" s="19" t="n"/>
      <c r="P26" s="19" t="n"/>
      <c r="Q26" s="19">
        <f>ROUND((L26*M26*N26)/1000000,3)</f>
        <v/>
      </c>
      <c r="R26" s="19" t="n"/>
      <c r="S26" s="19" t="n"/>
      <c r="T26" s="4" t="n"/>
      <c r="U26" s="4" t="n"/>
      <c r="V26" s="19" t="n"/>
      <c r="W26" s="19" t="n"/>
      <c r="X26" s="4">
        <f>AR26*(W26+35+10)</f>
        <v/>
      </c>
      <c r="Y26" s="4">
        <f>AR26*(W26+35+10+45)</f>
        <v/>
      </c>
      <c r="Z26" s="4">
        <f>AA26+AB26+AC26</f>
        <v/>
      </c>
      <c r="AA26" s="4" t="n"/>
      <c r="AB26" s="4" t="n"/>
      <c r="AC26" s="4" t="n"/>
      <c r="AD26" s="4">
        <f>AA26+AB26</f>
        <v/>
      </c>
      <c r="AE26" s="13">
        <f>IF(AD26&lt;=AT26,"库存不足",IF(AD26&gt;=AT26*1.5,"库存预警","库存正常"))</f>
        <v/>
      </c>
      <c r="AF26" s="4">
        <f>MAX(AT26-AA26-AB26,0)</f>
        <v/>
      </c>
      <c r="AG26" s="4">
        <f>MAX(X26-AD26,0)</f>
        <v/>
      </c>
      <c r="AH26" s="4">
        <f>AF26-AG26</f>
        <v/>
      </c>
      <c r="AI26" s="14">
        <f>AX26+(AA26+AB26)/AR26-60</f>
        <v/>
      </c>
      <c r="AJ26" s="4" t="n"/>
      <c r="AK26" s="15" t="n"/>
      <c r="AL26" s="15" t="n"/>
      <c r="AM26" s="15" t="n"/>
      <c r="AN26" s="15" t="n"/>
      <c r="AO26" s="4">
        <f>ROUND(AK26/7,0)</f>
        <v/>
      </c>
      <c r="AP26" s="4">
        <f>ROUND(AL26/15,0)</f>
        <v/>
      </c>
      <c r="AQ26" s="4">
        <f>ROUND(AM26/30,0)</f>
        <v/>
      </c>
      <c r="AR26" s="4" t="n"/>
      <c r="AS26" s="4" t="n"/>
      <c r="AT26" s="4">
        <f>AR26*(W26+7+30)</f>
        <v/>
      </c>
      <c r="AU26" s="4" t="n"/>
      <c r="AV26" s="4">
        <f>MAX(0,AT26-AD26-AC26)</f>
        <v/>
      </c>
      <c r="AW26" s="4" t="n"/>
      <c r="AX26" s="14">
        <f>TODAY()</f>
        <v/>
      </c>
      <c r="AY26" s="4" t="n"/>
      <c r="AZ26" s="4" t="n"/>
      <c r="BA26" s="16" t="n"/>
      <c r="BB26" s="16" t="n"/>
      <c r="BC26" s="16" t="n"/>
    </row>
    <row r="27" ht="14.25" customHeight="1" s="31">
      <c r="A27" s="19" t="n"/>
      <c r="B27" s="19" t="n"/>
      <c r="C27" s="19" t="n"/>
      <c r="D27" s="19" t="n"/>
      <c r="E27" s="19" t="n"/>
      <c r="F27" s="19" t="n"/>
      <c r="G27" s="34" t="n"/>
      <c r="H27" s="34" t="n"/>
      <c r="I27" s="34" t="n"/>
      <c r="J27" s="19">
        <f>K27*1000</f>
        <v/>
      </c>
      <c r="K27" s="19" t="n"/>
      <c r="L27" s="19" t="n"/>
      <c r="M27" s="19" t="n"/>
      <c r="N27" s="19" t="n"/>
      <c r="O27" s="19" t="n"/>
      <c r="P27" s="19" t="n"/>
      <c r="Q27" s="19">
        <f>ROUND((L27*M27*N27)/1000000,3)</f>
        <v/>
      </c>
      <c r="R27" s="19" t="n"/>
      <c r="S27" s="19" t="n"/>
      <c r="T27" s="4" t="n"/>
      <c r="U27" s="4" t="n"/>
      <c r="V27" s="19" t="n"/>
      <c r="W27" s="19" t="n"/>
      <c r="X27" s="4">
        <f>AR27*(W27+35+10)</f>
        <v/>
      </c>
      <c r="Y27" s="4">
        <f>AR27*(W27+35+10+45)</f>
        <v/>
      </c>
      <c r="Z27" s="4">
        <f>AA27+AB27+AC27</f>
        <v/>
      </c>
      <c r="AA27" s="4" t="n"/>
      <c r="AB27" s="4" t="n"/>
      <c r="AC27" s="4" t="n"/>
      <c r="AD27" s="4">
        <f>AA27+AB27</f>
        <v/>
      </c>
      <c r="AE27" s="13">
        <f>IF(AD27&lt;=AT27,"库存不足",IF(AD27&gt;=AT27*1.5,"库存预警","库存正常"))</f>
        <v/>
      </c>
      <c r="AF27" s="4">
        <f>MAX(AT27-AA27-AB27,0)</f>
        <v/>
      </c>
      <c r="AG27" s="4">
        <f>MAX(X27-AD27,0)</f>
        <v/>
      </c>
      <c r="AH27" s="4">
        <f>AF27-AG27</f>
        <v/>
      </c>
      <c r="AI27" s="14">
        <f>AX27+(AA27+AB27)/AR27-60</f>
        <v/>
      </c>
      <c r="AJ27" s="4" t="n"/>
      <c r="AK27" s="15" t="n"/>
      <c r="AL27" s="15" t="n"/>
      <c r="AM27" s="15" t="n"/>
      <c r="AN27" s="15" t="n"/>
      <c r="AO27" s="4">
        <f>ROUND(AK27/7,0)</f>
        <v/>
      </c>
      <c r="AP27" s="4">
        <f>ROUND(AL27/15,0)</f>
        <v/>
      </c>
      <c r="AQ27" s="4">
        <f>ROUND(AM27/30,0)</f>
        <v/>
      </c>
      <c r="AR27" s="4" t="n"/>
      <c r="AS27" s="4" t="n"/>
      <c r="AT27" s="4">
        <f>AR27*(W27+7+30)</f>
        <v/>
      </c>
      <c r="AU27" s="4" t="n"/>
      <c r="AV27" s="4">
        <f>MAX(0,AT27-AD27-AC27)</f>
        <v/>
      </c>
      <c r="AW27" s="4" t="n"/>
      <c r="AX27" s="14">
        <f>TODAY()</f>
        <v/>
      </c>
      <c r="AY27" s="4" t="n"/>
      <c r="AZ27" s="4" t="n"/>
      <c r="BA27" s="16" t="n"/>
      <c r="BB27" s="16" t="n"/>
      <c r="BC27" s="16" t="n"/>
    </row>
    <row r="28" ht="14.25" customHeight="1" s="31">
      <c r="A28" s="19" t="n"/>
      <c r="B28" s="19" t="n"/>
      <c r="C28" s="19" t="n"/>
      <c r="D28" s="19" t="n"/>
      <c r="E28" s="19" t="n"/>
      <c r="F28" s="19" t="n"/>
      <c r="G28" s="34" t="n"/>
      <c r="H28" s="34" t="n"/>
      <c r="I28" s="34" t="n"/>
      <c r="J28" s="19">
        <f>K28*1000</f>
        <v/>
      </c>
      <c r="K28" s="19" t="n"/>
      <c r="L28" s="19" t="n"/>
      <c r="M28" s="19" t="n"/>
      <c r="N28" s="19" t="n"/>
      <c r="O28" s="19" t="n"/>
      <c r="P28" s="19" t="n"/>
      <c r="Q28" s="19">
        <f>ROUND((L28*M28*N28)/1000000,3)</f>
        <v/>
      </c>
      <c r="R28" s="19" t="n"/>
      <c r="S28" s="19" t="n"/>
      <c r="T28" s="4" t="n"/>
      <c r="U28" s="4" t="n"/>
      <c r="V28" s="19" t="n"/>
      <c r="W28" s="19" t="n"/>
      <c r="X28" s="4">
        <f>AR28*(W28+35+10)</f>
        <v/>
      </c>
      <c r="Y28" s="4">
        <f>AR28*(W28+35+10+45)</f>
        <v/>
      </c>
      <c r="Z28" s="4">
        <f>AA28+AB28+AC28</f>
        <v/>
      </c>
      <c r="AA28" s="4" t="n"/>
      <c r="AB28" s="4" t="n"/>
      <c r="AC28" s="4" t="n"/>
      <c r="AD28" s="4">
        <f>AA28+AB28</f>
        <v/>
      </c>
      <c r="AE28" s="13">
        <f>IF(AD28&lt;=AT28,"库存不足",IF(AD28&gt;=AT28*1.5,"库存预警","库存正常"))</f>
        <v/>
      </c>
      <c r="AF28" s="4">
        <f>MAX(AT28-AA28-AB28,0)</f>
        <v/>
      </c>
      <c r="AG28" s="4">
        <f>MAX(X28-AD28,0)</f>
        <v/>
      </c>
      <c r="AH28" s="4">
        <f>AF28-AG28</f>
        <v/>
      </c>
      <c r="AI28" s="14">
        <f>AX28+(AA28+AB28)/AR28-60</f>
        <v/>
      </c>
      <c r="AJ28" s="4" t="n"/>
      <c r="AK28" s="15" t="n"/>
      <c r="AL28" s="15" t="n"/>
      <c r="AM28" s="15" t="n"/>
      <c r="AN28" s="15" t="n"/>
      <c r="AO28" s="4">
        <f>ROUND(AK28/7,0)</f>
        <v/>
      </c>
      <c r="AP28" s="4">
        <f>ROUND(AL28/15,0)</f>
        <v/>
      </c>
      <c r="AQ28" s="4">
        <f>ROUND(AM28/30,0)</f>
        <v/>
      </c>
      <c r="AR28" s="4" t="n"/>
      <c r="AS28" s="4" t="n"/>
      <c r="AT28" s="4">
        <f>AR28*(W28+7+30)</f>
        <v/>
      </c>
      <c r="AU28" s="4" t="n"/>
      <c r="AV28" s="4">
        <f>MAX(0,AT28-AD28-AC28)</f>
        <v/>
      </c>
      <c r="AW28" s="4" t="n"/>
      <c r="AX28" s="14">
        <f>TODAY()</f>
        <v/>
      </c>
      <c r="AY28" s="4" t="n"/>
      <c r="AZ28" s="4" t="n"/>
      <c r="BA28" s="16" t="n"/>
      <c r="BB28" s="16" t="n"/>
      <c r="BC28" s="16" t="n"/>
    </row>
    <row r="29" ht="14.25" customHeight="1" s="31">
      <c r="A29" s="19" t="n"/>
      <c r="B29" s="19" t="n"/>
      <c r="C29" s="19" t="n"/>
      <c r="D29" s="19" t="n"/>
      <c r="E29" s="19" t="n"/>
      <c r="F29" s="19" t="n"/>
      <c r="G29" s="34" t="n"/>
      <c r="H29" s="34" t="n"/>
      <c r="I29" s="34" t="n"/>
      <c r="J29" s="19">
        <f>K29*1000</f>
        <v/>
      </c>
      <c r="K29" s="19" t="n"/>
      <c r="L29" s="19" t="n"/>
      <c r="M29" s="19" t="n"/>
      <c r="N29" s="19" t="n"/>
      <c r="O29" s="19" t="n"/>
      <c r="P29" s="19" t="n"/>
      <c r="Q29" s="19">
        <f>ROUND((L29*M29*N29)/1000000,3)</f>
        <v/>
      </c>
      <c r="R29" s="19" t="n"/>
      <c r="S29" s="19" t="n"/>
      <c r="T29" s="4" t="n"/>
      <c r="U29" s="4" t="n"/>
      <c r="V29" s="19" t="n"/>
      <c r="W29" s="19" t="n"/>
      <c r="X29" s="4">
        <f>AR29*(W29+35+10)</f>
        <v/>
      </c>
      <c r="Y29" s="4">
        <f>AR29*(W29+35+10+45)</f>
        <v/>
      </c>
      <c r="Z29" s="4">
        <f>AA29+AB29+AC29</f>
        <v/>
      </c>
      <c r="AA29" s="4" t="n"/>
      <c r="AB29" s="4" t="n"/>
      <c r="AC29" s="4" t="n"/>
      <c r="AD29" s="4">
        <f>AA29+AB29</f>
        <v/>
      </c>
      <c r="AE29" s="13">
        <f>IF(AD29&lt;=AT29,"库存不足",IF(AD29&gt;=AT29*1.5,"库存预警","库存正常"))</f>
        <v/>
      </c>
      <c r="AF29" s="4">
        <f>MAX(AT29-AA29-AB29,0)</f>
        <v/>
      </c>
      <c r="AG29" s="4">
        <f>MAX(X29-AD29,0)</f>
        <v/>
      </c>
      <c r="AH29" s="4">
        <f>AF29-AG29</f>
        <v/>
      </c>
      <c r="AI29" s="14">
        <f>AX29+(AA29+AB29)/AR29-60</f>
        <v/>
      </c>
      <c r="AJ29" s="4" t="n"/>
      <c r="AK29" s="15" t="n"/>
      <c r="AL29" s="15" t="n"/>
      <c r="AM29" s="15" t="n"/>
      <c r="AN29" s="15" t="n"/>
      <c r="AO29" s="4">
        <f>ROUND(AK29/7,0)</f>
        <v/>
      </c>
      <c r="AP29" s="4">
        <f>ROUND(AL29/15,0)</f>
        <v/>
      </c>
      <c r="AQ29" s="4">
        <f>ROUND(AM29/30,0)</f>
        <v/>
      </c>
      <c r="AR29" s="4" t="n"/>
      <c r="AS29" s="4" t="n"/>
      <c r="AT29" s="4">
        <f>AR29*(W29+7+30)</f>
        <v/>
      </c>
      <c r="AU29" s="4" t="n"/>
      <c r="AV29" s="4">
        <f>MAX(0,AT29-AD29-AC29)</f>
        <v/>
      </c>
      <c r="AW29" s="4" t="n"/>
      <c r="AX29" s="14">
        <f>TODAY()</f>
        <v/>
      </c>
      <c r="AY29" s="4" t="n"/>
      <c r="AZ29" s="4" t="n"/>
      <c r="BA29" s="16" t="n"/>
      <c r="BB29" s="16" t="n"/>
      <c r="BC29" s="16" t="n"/>
    </row>
    <row r="30" ht="14.25" customHeight="1" s="31">
      <c r="A30" s="19" t="n"/>
      <c r="B30" s="19" t="n"/>
      <c r="C30" s="19" t="n"/>
      <c r="D30" s="19" t="n"/>
      <c r="E30" s="19" t="n"/>
      <c r="F30" s="19" t="n"/>
      <c r="G30" s="34" t="n"/>
      <c r="H30" s="34" t="n"/>
      <c r="I30" s="34" t="n"/>
      <c r="J30" s="19">
        <f>K30*1000</f>
        <v/>
      </c>
      <c r="K30" s="19" t="n"/>
      <c r="L30" s="19" t="n"/>
      <c r="M30" s="19" t="n"/>
      <c r="N30" s="19" t="n"/>
      <c r="O30" s="19" t="n"/>
      <c r="P30" s="19" t="n"/>
      <c r="Q30" s="19">
        <f>ROUND((L30*M30*N30)/1000000,3)</f>
        <v/>
      </c>
      <c r="R30" s="19" t="n"/>
      <c r="S30" s="19" t="n"/>
      <c r="T30" s="4" t="n"/>
      <c r="U30" s="4" t="n"/>
      <c r="V30" s="19" t="n"/>
      <c r="W30" s="19" t="n"/>
      <c r="X30" s="4">
        <f>AR30*(W30+35+10)</f>
        <v/>
      </c>
      <c r="Y30" s="4">
        <f>AR30*(W30+35+10+45)</f>
        <v/>
      </c>
      <c r="Z30" s="4">
        <f>AA30+AB30+AC30</f>
        <v/>
      </c>
      <c r="AA30" s="4" t="n"/>
      <c r="AB30" s="4" t="n"/>
      <c r="AC30" s="4" t="n"/>
      <c r="AD30" s="4">
        <f>AA30+AB30</f>
        <v/>
      </c>
      <c r="AE30" s="13">
        <f>IF(AD30&lt;=AT30,"库存不足",IF(AD30&gt;=AT30*1.5,"库存预警","库存正常"))</f>
        <v/>
      </c>
      <c r="AF30" s="4">
        <f>MAX(AT30-AA30-AB30,0)</f>
        <v/>
      </c>
      <c r="AG30" s="4">
        <f>MAX(X30-AD30,0)</f>
        <v/>
      </c>
      <c r="AH30" s="4">
        <f>AF30-AG30</f>
        <v/>
      </c>
      <c r="AI30" s="14">
        <f>AX30+(AA30+AB30)/AR30-60</f>
        <v/>
      </c>
      <c r="AJ30" s="4" t="n"/>
      <c r="AK30" s="15" t="n"/>
      <c r="AL30" s="15" t="n"/>
      <c r="AM30" s="15" t="n"/>
      <c r="AN30" s="15" t="n"/>
      <c r="AO30" s="4">
        <f>ROUND(AK30/7,0)</f>
        <v/>
      </c>
      <c r="AP30" s="4">
        <f>ROUND(AL30/15,0)</f>
        <v/>
      </c>
      <c r="AQ30" s="4">
        <f>ROUND(AM30/30,0)</f>
        <v/>
      </c>
      <c r="AR30" s="4" t="n"/>
      <c r="AS30" s="4" t="n"/>
      <c r="AT30" s="4">
        <f>AR30*(W30+7+30)</f>
        <v/>
      </c>
      <c r="AU30" s="4" t="n"/>
      <c r="AV30" s="4">
        <f>MAX(0,AT30-AD30-AC30)</f>
        <v/>
      </c>
      <c r="AW30" s="4" t="n"/>
      <c r="AX30" s="14">
        <f>TODAY()</f>
        <v/>
      </c>
      <c r="AY30" s="4" t="n"/>
      <c r="AZ30" s="4" t="n"/>
      <c r="BA30" s="16" t="n"/>
      <c r="BB30" s="16" t="n"/>
      <c r="BC30" s="16" t="n"/>
    </row>
    <row r="31" ht="14.25" customHeight="1" s="31">
      <c r="A31" s="19" t="n"/>
      <c r="B31" s="19" t="n"/>
      <c r="C31" s="19" t="n"/>
      <c r="D31" s="19" t="n"/>
      <c r="E31" s="19" t="n"/>
      <c r="F31" s="19" t="n"/>
      <c r="G31" s="34" t="n"/>
      <c r="H31" s="34" t="n"/>
      <c r="I31" s="34" t="n"/>
      <c r="J31" s="19">
        <f>K31*1000</f>
        <v/>
      </c>
      <c r="K31" s="19" t="n"/>
      <c r="L31" s="19" t="n"/>
      <c r="M31" s="19" t="n"/>
      <c r="N31" s="19" t="n"/>
      <c r="O31" s="19" t="n"/>
      <c r="P31" s="19" t="n"/>
      <c r="Q31" s="19">
        <f>ROUND((L31*M31*N31)/1000000,3)</f>
        <v/>
      </c>
      <c r="R31" s="19" t="n"/>
      <c r="S31" s="19" t="n"/>
      <c r="T31" s="4" t="n"/>
      <c r="U31" s="4" t="n"/>
      <c r="V31" s="19" t="n"/>
      <c r="W31" s="19" t="n"/>
      <c r="X31" s="4">
        <f>AR31*(W31+35+10)</f>
        <v/>
      </c>
      <c r="Y31" s="4">
        <f>AR31*(W31+35+10+45)</f>
        <v/>
      </c>
      <c r="Z31" s="4">
        <f>AA31+AB31+AC31</f>
        <v/>
      </c>
      <c r="AA31" s="4" t="n"/>
      <c r="AB31" s="4" t="n"/>
      <c r="AC31" s="4" t="n"/>
      <c r="AD31" s="4">
        <f>AA31+AB31</f>
        <v/>
      </c>
      <c r="AE31" s="13">
        <f>IF(AD31&lt;=AT31,"库存不足",IF(AD31&gt;=AT31*1.5,"库存预警","库存正常"))</f>
        <v/>
      </c>
      <c r="AF31" s="4">
        <f>MAX(AT31-AA31-AB31,0)</f>
        <v/>
      </c>
      <c r="AG31" s="4">
        <f>MAX(X31-AD31,0)</f>
        <v/>
      </c>
      <c r="AH31" s="4">
        <f>AF31-AG31</f>
        <v/>
      </c>
      <c r="AI31" s="14">
        <f>AX31+(AA31+AB31)/AR31-60</f>
        <v/>
      </c>
      <c r="AJ31" s="4" t="n"/>
      <c r="AK31" s="15" t="n"/>
      <c r="AL31" s="15" t="n"/>
      <c r="AM31" s="15" t="n"/>
      <c r="AN31" s="15" t="n"/>
      <c r="AO31" s="4">
        <f>ROUND(AK31/7,0)</f>
        <v/>
      </c>
      <c r="AP31" s="4">
        <f>ROUND(AL31/15,0)</f>
        <v/>
      </c>
      <c r="AQ31" s="4">
        <f>ROUND(AM31/30,0)</f>
        <v/>
      </c>
      <c r="AR31" s="4" t="n"/>
      <c r="AS31" s="4" t="n"/>
      <c r="AT31" s="4">
        <f>AR31*(W31+7+30)</f>
        <v/>
      </c>
      <c r="AU31" s="4" t="n"/>
      <c r="AV31" s="4">
        <f>MAX(0,AT31-AD31-AC31)</f>
        <v/>
      </c>
      <c r="AW31" s="4" t="n"/>
      <c r="AX31" s="14">
        <f>TODAY()</f>
        <v/>
      </c>
      <c r="AY31" s="4" t="n"/>
      <c r="AZ31" s="4" t="n"/>
      <c r="BA31" s="16" t="n"/>
      <c r="BB31" s="16" t="n"/>
      <c r="BC31" s="16" t="n"/>
    </row>
    <row r="32" ht="14.25" customHeight="1" s="31">
      <c r="A32" s="19" t="n"/>
      <c r="B32" s="19" t="n"/>
      <c r="C32" s="19" t="n"/>
      <c r="D32" s="19" t="n"/>
      <c r="E32" s="19" t="n"/>
      <c r="F32" s="19" t="n"/>
      <c r="G32" s="34" t="n"/>
      <c r="H32" s="34" t="n"/>
      <c r="I32" s="34" t="n"/>
      <c r="J32" s="19" t="n"/>
      <c r="K32" s="19" t="n"/>
      <c r="L32" s="19" t="n"/>
      <c r="M32" s="19" t="n"/>
      <c r="N32" s="19" t="n"/>
      <c r="O32" s="19" t="n"/>
      <c r="P32" s="19" t="n"/>
      <c r="Q32" s="19">
        <f>ROUND((L32*M32*N32)/1000000,3)</f>
        <v/>
      </c>
      <c r="R32" s="19" t="n"/>
      <c r="S32" s="19" t="n"/>
      <c r="T32" s="4" t="n"/>
      <c r="U32" s="4" t="n"/>
      <c r="V32" s="19" t="n"/>
      <c r="W32" s="19" t="n"/>
      <c r="X32" s="4">
        <f>AR32*(W32+35+10)</f>
        <v/>
      </c>
      <c r="Y32" s="4">
        <f>AR32*(W32+35+10+45)</f>
        <v/>
      </c>
      <c r="Z32" s="4">
        <f>AA32+AB32+AC32</f>
        <v/>
      </c>
      <c r="AA32" s="4" t="n"/>
      <c r="AB32" s="4" t="n"/>
      <c r="AC32" s="4" t="n"/>
      <c r="AD32" s="4">
        <f>AA32+AB32</f>
        <v/>
      </c>
      <c r="AE32" s="13">
        <f>IF(AD32&lt;=AT32,"库存不足",IF(AD32&gt;=AT32*1.5,"库存预警","库存正常"))</f>
        <v/>
      </c>
      <c r="AF32" s="4">
        <f>MAX(AT32-AA32-AB32,0)</f>
        <v/>
      </c>
      <c r="AG32" s="4">
        <f>MAX(X32-AD32,0)</f>
        <v/>
      </c>
      <c r="AH32" s="4">
        <f>AF32-AG32</f>
        <v/>
      </c>
      <c r="AI32" s="14">
        <f>AX32+(AA32+AB32)/AR32-60</f>
        <v/>
      </c>
      <c r="AJ32" s="4" t="n"/>
      <c r="AK32" s="15" t="n"/>
      <c r="AL32" s="15" t="n"/>
      <c r="AM32" s="15" t="n"/>
      <c r="AN32" s="15" t="n"/>
      <c r="AO32" s="4">
        <f>ROUND(AK32/7,0)</f>
        <v/>
      </c>
      <c r="AP32" s="4">
        <f>ROUND(AL32/15,0)</f>
        <v/>
      </c>
      <c r="AQ32" s="4">
        <f>ROUND(AM32/30,0)</f>
        <v/>
      </c>
      <c r="AR32" s="4" t="n"/>
      <c r="AS32" s="4" t="n"/>
      <c r="AT32" s="4">
        <f>AR32*(W32+7+30)</f>
        <v/>
      </c>
      <c r="AU32" s="4" t="n"/>
      <c r="AV32" s="4">
        <f>MAX(0,AT32-AD32-AC32)</f>
        <v/>
      </c>
      <c r="AW32" s="4" t="n"/>
      <c r="AX32" s="14">
        <f>TODAY()</f>
        <v/>
      </c>
      <c r="AY32" s="4" t="n"/>
      <c r="AZ32" s="4" t="n"/>
      <c r="BA32" s="16" t="n"/>
      <c r="BB32" s="16" t="n"/>
      <c r="BC32" s="16" t="n"/>
    </row>
    <row r="33" ht="14.25" customHeight="1" s="31">
      <c r="A33" s="19" t="n"/>
      <c r="B33" s="19" t="n"/>
      <c r="C33" s="19" t="n"/>
      <c r="D33" s="19" t="n"/>
      <c r="E33" s="19" t="n"/>
      <c r="F33" s="19" t="n"/>
      <c r="G33" s="34" t="n"/>
      <c r="H33" s="34" t="n"/>
      <c r="I33" s="34" t="n"/>
      <c r="J33" s="19">
        <f>K33*1000</f>
        <v/>
      </c>
      <c r="K33" s="19" t="n"/>
      <c r="L33" s="19" t="n"/>
      <c r="M33" s="19" t="n"/>
      <c r="N33" s="19" t="n"/>
      <c r="O33" s="19" t="n"/>
      <c r="P33" s="19" t="n"/>
      <c r="Q33" s="19">
        <f>ROUND((L33*M33*N33)/1000000,3)</f>
        <v/>
      </c>
      <c r="R33" s="19" t="n"/>
      <c r="S33" s="19" t="n"/>
      <c r="T33" s="4" t="n"/>
      <c r="U33" s="4" t="n"/>
      <c r="V33" s="19" t="n"/>
      <c r="W33" s="19" t="n"/>
      <c r="X33" s="4">
        <f>AR33*(W33+35+10)</f>
        <v/>
      </c>
      <c r="Y33" s="4">
        <f>AR33*(W33+35+10+45)</f>
        <v/>
      </c>
      <c r="Z33" s="4">
        <f>AA33+AB33+AC33</f>
        <v/>
      </c>
      <c r="AA33" s="4" t="n"/>
      <c r="AB33" s="4" t="n"/>
      <c r="AC33" s="4" t="n"/>
      <c r="AD33" s="4">
        <f>AA33+AB33</f>
        <v/>
      </c>
      <c r="AE33" s="13">
        <f>IF(AD33&lt;=AT33,"库存不足",IF(AD33&gt;=AT33*1.5,"库存预警","库存正常"))</f>
        <v/>
      </c>
      <c r="AF33" s="4">
        <f>MAX(AT33-AA33-AB33,0)</f>
        <v/>
      </c>
      <c r="AG33" s="4">
        <f>MAX(X33-AD33,0)</f>
        <v/>
      </c>
      <c r="AH33" s="4">
        <f>AF33-AG33</f>
        <v/>
      </c>
      <c r="AI33" s="14">
        <f>AX33+(AA33+AB33)/AR33-60</f>
        <v/>
      </c>
      <c r="AJ33" s="4" t="n"/>
      <c r="AK33" s="15" t="n"/>
      <c r="AL33" s="15" t="n"/>
      <c r="AM33" s="15" t="n"/>
      <c r="AN33" s="15" t="n"/>
      <c r="AO33" s="4">
        <f>ROUND(AK33/7,0)</f>
        <v/>
      </c>
      <c r="AP33" s="4">
        <f>ROUND(AL33/15,0)</f>
        <v/>
      </c>
      <c r="AQ33" s="4">
        <f>ROUND(AM33/30,0)</f>
        <v/>
      </c>
      <c r="AR33" s="4" t="n"/>
      <c r="AS33" s="4" t="n"/>
      <c r="AT33" s="4">
        <f>AR33*(W33+7+30)</f>
        <v/>
      </c>
      <c r="AU33" s="4" t="n"/>
      <c r="AV33" s="4">
        <f>MAX(0,AT33-AD33-AC33)</f>
        <v/>
      </c>
      <c r="AW33" s="4" t="n"/>
      <c r="AX33" s="14">
        <f>TODAY()</f>
        <v/>
      </c>
      <c r="AY33" s="4" t="n"/>
      <c r="AZ33" s="4" t="n"/>
      <c r="BA33" s="16" t="n"/>
      <c r="BB33" s="16" t="n"/>
      <c r="BC33" s="16" t="n"/>
    </row>
    <row r="34" ht="14.25" customHeight="1" s="31">
      <c r="A34" s="19" t="n"/>
      <c r="B34" s="19" t="n"/>
      <c r="C34" s="19" t="n"/>
      <c r="D34" s="19" t="n"/>
      <c r="E34" s="19" t="n"/>
      <c r="F34" s="19" t="n"/>
      <c r="G34" s="34" t="n"/>
      <c r="H34" s="34" t="n"/>
      <c r="I34" s="34" t="n"/>
      <c r="J34" s="19" t="n"/>
      <c r="K34" s="19" t="n"/>
      <c r="L34" s="19" t="n"/>
      <c r="M34" s="19" t="n"/>
      <c r="N34" s="19" t="n"/>
      <c r="O34" s="19" t="n"/>
      <c r="P34" s="19" t="n"/>
      <c r="Q34" s="19">
        <f>ROUND((L34*M34*N34)/1000000,3)</f>
        <v/>
      </c>
      <c r="R34" s="19" t="n"/>
      <c r="S34" s="19" t="n"/>
      <c r="T34" s="4" t="n"/>
      <c r="U34" s="4" t="n"/>
      <c r="V34" s="19" t="n"/>
      <c r="W34" s="19" t="n"/>
      <c r="X34" s="4">
        <f>AR34*(W34+35+10)</f>
        <v/>
      </c>
      <c r="Y34" s="4">
        <f>AR34*(W34+35+10+45)</f>
        <v/>
      </c>
      <c r="Z34" s="4">
        <f>AA34+AB34+AC34</f>
        <v/>
      </c>
      <c r="AA34" s="4" t="n"/>
      <c r="AB34" s="4" t="n"/>
      <c r="AC34" s="4" t="n"/>
      <c r="AD34" s="4">
        <f>AA34+AB34</f>
        <v/>
      </c>
      <c r="AE34" s="13">
        <f>IF(AD34&lt;=AT34,"库存不足",IF(AD34&gt;=AT34*1.5,"库存预警","库存正常"))</f>
        <v/>
      </c>
      <c r="AF34" s="4">
        <f>MAX(AT34-AA34-AB34,0)</f>
        <v/>
      </c>
      <c r="AG34" s="4">
        <f>MAX(X34-AD34,0)</f>
        <v/>
      </c>
      <c r="AH34" s="4">
        <f>AF34-AG34</f>
        <v/>
      </c>
      <c r="AI34" s="14">
        <f>AX34+(AA34+AB34)/AR34-60</f>
        <v/>
      </c>
      <c r="AJ34" s="4" t="n"/>
      <c r="AK34" s="15" t="n"/>
      <c r="AL34" s="15" t="n"/>
      <c r="AM34" s="15" t="n"/>
      <c r="AN34" s="15" t="n"/>
      <c r="AO34" s="4">
        <f>ROUND(AK34/7,0)</f>
        <v/>
      </c>
      <c r="AP34" s="4">
        <f>ROUND(AL34/15,0)</f>
        <v/>
      </c>
      <c r="AQ34" s="4">
        <f>ROUND(AM34/30,0)</f>
        <v/>
      </c>
      <c r="AR34" s="4" t="n"/>
      <c r="AS34" s="4" t="n"/>
      <c r="AT34" s="4">
        <f>AR34*(W34+7+30)</f>
        <v/>
      </c>
      <c r="AU34" s="4" t="n"/>
      <c r="AV34" s="4">
        <f>MAX(0,AT34-AD34-AC34)</f>
        <v/>
      </c>
      <c r="AW34" s="4" t="n"/>
      <c r="AX34" s="14">
        <f>TODAY()</f>
        <v/>
      </c>
      <c r="AY34" s="4" t="n"/>
      <c r="AZ34" s="4" t="n"/>
      <c r="BA34" s="16" t="n"/>
      <c r="BB34" s="16" t="n"/>
      <c r="BC34" s="16" t="n"/>
    </row>
    <row r="35" ht="14.25" customHeight="1" s="31">
      <c r="A35" s="19" t="n"/>
      <c r="B35" s="19" t="n"/>
      <c r="C35" s="19" t="n"/>
      <c r="D35" s="19" t="n"/>
      <c r="E35" s="19" t="n"/>
      <c r="F35" s="19" t="n"/>
      <c r="G35" s="34" t="n"/>
      <c r="H35" s="34" t="n"/>
      <c r="I35" s="34" t="n"/>
      <c r="J35" s="19" t="n"/>
      <c r="K35" s="19" t="n"/>
      <c r="L35" s="19" t="n"/>
      <c r="M35" s="19" t="n"/>
      <c r="N35" s="19" t="n"/>
      <c r="O35" s="19" t="n"/>
      <c r="P35" s="19" t="n"/>
      <c r="Q35" s="19">
        <f>ROUND((L35*M35*N35)/1000000,3)</f>
        <v/>
      </c>
      <c r="R35" s="19" t="n"/>
      <c r="S35" s="19" t="n"/>
      <c r="T35" s="4" t="n"/>
      <c r="U35" s="4" t="n"/>
      <c r="V35" s="19" t="n"/>
      <c r="W35" s="19" t="n"/>
      <c r="X35" s="4">
        <f>AR35*(W35+35+10)</f>
        <v/>
      </c>
      <c r="Y35" s="4">
        <f>AR35*(W35+35+10+45)</f>
        <v/>
      </c>
      <c r="Z35" s="4">
        <f>AA35+AB35+AC35</f>
        <v/>
      </c>
      <c r="AA35" s="4" t="n"/>
      <c r="AB35" s="4" t="n"/>
      <c r="AC35" s="4" t="n"/>
      <c r="AD35" s="4">
        <f>AA35+AB35</f>
        <v/>
      </c>
      <c r="AE35" s="13">
        <f>IF(AD35&lt;=AT35,"库存不足",IF(AD35&gt;=AT35*1.5,"库存预警","库存正常"))</f>
        <v/>
      </c>
      <c r="AF35" s="4">
        <f>MAX(AT35-AA35-AB35,0)</f>
        <v/>
      </c>
      <c r="AG35" s="4">
        <f>MAX(X35-AD35,0)</f>
        <v/>
      </c>
      <c r="AH35" s="4">
        <f>AF35-AG35</f>
        <v/>
      </c>
      <c r="AI35" s="14">
        <f>AX35+(AA35+AB35)/AR35-60</f>
        <v/>
      </c>
      <c r="AJ35" s="4" t="n"/>
      <c r="AK35" s="15" t="n"/>
      <c r="AL35" s="15" t="n"/>
      <c r="AM35" s="15" t="n"/>
      <c r="AN35" s="15" t="n"/>
      <c r="AO35" s="4">
        <f>ROUND(AK35/7,0)</f>
        <v/>
      </c>
      <c r="AP35" s="4">
        <f>ROUND(AL35/15,0)</f>
        <v/>
      </c>
      <c r="AQ35" s="4">
        <f>ROUND(AM35/30,0)</f>
        <v/>
      </c>
      <c r="AR35" s="4" t="n"/>
      <c r="AS35" s="4" t="n"/>
      <c r="AT35" s="4">
        <f>AR35*(W35+7+30)</f>
        <v/>
      </c>
      <c r="AU35" s="4" t="n"/>
      <c r="AV35" s="4">
        <f>MAX(0,AT35-AD35-AC35)</f>
        <v/>
      </c>
      <c r="AW35" s="4" t="n"/>
      <c r="AX35" s="14">
        <f>TODAY()</f>
        <v/>
      </c>
      <c r="AY35" s="4" t="n"/>
      <c r="AZ35" s="4" t="n"/>
      <c r="BA35" s="16" t="n"/>
      <c r="BB35" s="16" t="n"/>
      <c r="BC35" s="16" t="n"/>
    </row>
    <row r="36" ht="14.25" customHeight="1" s="31">
      <c r="A36" s="19" t="n"/>
      <c r="B36" s="19" t="n"/>
      <c r="C36" s="19" t="n"/>
      <c r="D36" s="19" t="n"/>
      <c r="E36" s="19" t="n"/>
      <c r="F36" s="19" t="n"/>
      <c r="G36" s="34" t="n"/>
      <c r="H36" s="34" t="n"/>
      <c r="I36" s="34" t="n"/>
      <c r="J36" s="19" t="n"/>
      <c r="K36" s="19" t="n"/>
      <c r="L36" s="19" t="n"/>
      <c r="M36" s="19" t="n"/>
      <c r="N36" s="19" t="n"/>
      <c r="O36" s="19" t="n"/>
      <c r="P36" s="19" t="n"/>
      <c r="Q36" s="19">
        <f>ROUND((L36*M36*N36)/1000000,3)</f>
        <v/>
      </c>
      <c r="R36" s="19" t="n"/>
      <c r="S36" s="19" t="n"/>
      <c r="T36" s="4" t="n"/>
      <c r="U36" s="4" t="n"/>
      <c r="V36" s="19" t="n"/>
      <c r="W36" s="19" t="n"/>
      <c r="X36" s="4">
        <f>AR36*(W36+35+10)</f>
        <v/>
      </c>
      <c r="Y36" s="4">
        <f>AR36*(W36+35+10+45)</f>
        <v/>
      </c>
      <c r="Z36" s="4">
        <f>AA36+AB36+AC36</f>
        <v/>
      </c>
      <c r="AA36" s="4" t="n"/>
      <c r="AB36" s="4" t="n"/>
      <c r="AC36" s="4" t="n"/>
      <c r="AD36" s="4">
        <f>AA36+AB36</f>
        <v/>
      </c>
      <c r="AE36" s="13">
        <f>IF(AD36&lt;=AT36,"库存不足",IF(AD36&gt;=AT36*1.5,"库存预警","库存正常"))</f>
        <v/>
      </c>
      <c r="AF36" s="4">
        <f>MAX(AT36-AA36-AB36,0)</f>
        <v/>
      </c>
      <c r="AG36" s="4">
        <f>MAX(X36-AD36,0)</f>
        <v/>
      </c>
      <c r="AH36" s="4">
        <f>AF36-AG36</f>
        <v/>
      </c>
      <c r="AI36" s="14">
        <f>AX36+(AA36+AB36)/AR36-60</f>
        <v/>
      </c>
      <c r="AJ36" s="4" t="n"/>
      <c r="AK36" s="15" t="n"/>
      <c r="AL36" s="15" t="n"/>
      <c r="AM36" s="15" t="n"/>
      <c r="AN36" s="15" t="n"/>
      <c r="AO36" s="4">
        <f>ROUND(AK36/7,0)</f>
        <v/>
      </c>
      <c r="AP36" s="4">
        <f>ROUND(AL36/15,0)</f>
        <v/>
      </c>
      <c r="AQ36" s="4">
        <f>ROUND(AM36/30,0)</f>
        <v/>
      </c>
      <c r="AR36" s="4" t="n"/>
      <c r="AS36" s="4" t="n"/>
      <c r="AT36" s="4">
        <f>AR36*(W36+7+30)</f>
        <v/>
      </c>
      <c r="AU36" s="4" t="n"/>
      <c r="AV36" s="4">
        <f>MAX(0,AT36-AD36-AC36)</f>
        <v/>
      </c>
      <c r="AW36" s="4" t="n"/>
      <c r="AX36" s="14">
        <f>TODAY()</f>
        <v/>
      </c>
      <c r="AY36" s="4" t="n"/>
      <c r="AZ36" s="4" t="n"/>
      <c r="BA36" s="16" t="n"/>
      <c r="BB36" s="16" t="n"/>
      <c r="BC36" s="16" t="n"/>
    </row>
    <row r="37" ht="14.25" customHeight="1" s="31">
      <c r="A37" s="19" t="n"/>
      <c r="B37" s="19" t="n"/>
      <c r="C37" s="19" t="n"/>
      <c r="D37" s="19" t="n"/>
      <c r="E37" s="19" t="n"/>
      <c r="F37" s="19" t="n"/>
      <c r="G37" s="34" t="n"/>
      <c r="H37" s="34" t="n"/>
      <c r="I37" s="34" t="n"/>
      <c r="J37" s="19" t="n"/>
      <c r="K37" s="19" t="n"/>
      <c r="L37" s="19" t="n"/>
      <c r="M37" s="19" t="n"/>
      <c r="N37" s="19" t="n"/>
      <c r="O37" s="19" t="n"/>
      <c r="P37" s="19" t="n"/>
      <c r="Q37" s="19">
        <f>ROUND((L37*M37*N37)/1000000,3)</f>
        <v/>
      </c>
      <c r="R37" s="19" t="n"/>
      <c r="S37" s="19" t="n"/>
      <c r="T37" s="4" t="n"/>
      <c r="U37" s="4" t="n"/>
      <c r="V37" s="19" t="n"/>
      <c r="W37" s="19" t="n"/>
      <c r="X37" s="4">
        <f>AR37*(W37+35+10)</f>
        <v/>
      </c>
      <c r="Y37" s="4">
        <f>AR37*(W37+35+10+45)</f>
        <v/>
      </c>
      <c r="Z37" s="4">
        <f>AA37+AB37+AC37</f>
        <v/>
      </c>
      <c r="AA37" s="4" t="n"/>
      <c r="AB37" s="4" t="n"/>
      <c r="AC37" s="4" t="n"/>
      <c r="AD37" s="4">
        <f>AA37+AB37</f>
        <v/>
      </c>
      <c r="AE37" s="13">
        <f>IF(AD37&lt;=AT37,"库存不足",IF(AD37&gt;=AT37*1.5,"库存预警","库存正常"))</f>
        <v/>
      </c>
      <c r="AF37" s="4">
        <f>MAX(AT37-AA37-AB37,0)</f>
        <v/>
      </c>
      <c r="AG37" s="4">
        <f>MAX(X37-AD37,0)</f>
        <v/>
      </c>
      <c r="AH37" s="4">
        <f>AF37-AG37</f>
        <v/>
      </c>
      <c r="AI37" s="14">
        <f>AX37+(AA37+AB37)/AR37-60</f>
        <v/>
      </c>
      <c r="AJ37" s="4" t="n"/>
      <c r="AK37" s="15" t="n"/>
      <c r="AL37" s="15" t="n"/>
      <c r="AM37" s="15" t="n"/>
      <c r="AN37" s="15" t="n"/>
      <c r="AO37" s="4">
        <f>ROUND(AK37/7,0)</f>
        <v/>
      </c>
      <c r="AP37" s="4">
        <f>ROUND(AL37/15,0)</f>
        <v/>
      </c>
      <c r="AQ37" s="4">
        <f>ROUND(AM37/30,0)</f>
        <v/>
      </c>
      <c r="AR37" s="4" t="n"/>
      <c r="AS37" s="4" t="n"/>
      <c r="AT37" s="4">
        <f>AR37*(W37+7+30)</f>
        <v/>
      </c>
      <c r="AU37" s="4" t="n"/>
      <c r="AV37" s="4">
        <f>MAX(0,AT37-AD37-AC37)</f>
        <v/>
      </c>
      <c r="AW37" s="4" t="n"/>
      <c r="AX37" s="14">
        <f>TODAY()</f>
        <v/>
      </c>
      <c r="AY37" s="4" t="n"/>
      <c r="AZ37" s="4" t="n"/>
      <c r="BA37" s="16" t="n"/>
      <c r="BB37" s="16" t="n"/>
      <c r="BC37" s="16" t="n"/>
    </row>
    <row r="38" ht="14.25" customHeight="1" s="31">
      <c r="A38" s="19" t="n"/>
      <c r="B38" s="19" t="n"/>
      <c r="C38" s="19" t="n"/>
      <c r="D38" s="19" t="n"/>
      <c r="E38" s="19" t="n"/>
      <c r="F38" s="19" t="n"/>
      <c r="G38" s="34" t="n"/>
      <c r="H38" s="34" t="n"/>
      <c r="I38" s="34" t="n"/>
      <c r="J38" s="19" t="n"/>
      <c r="K38" s="19">
        <f>J38/1000</f>
        <v/>
      </c>
      <c r="L38" s="34" t="n"/>
      <c r="M38" s="34" t="n"/>
      <c r="N38" s="34" t="n"/>
      <c r="O38" s="19" t="n"/>
      <c r="P38" s="19" t="n"/>
      <c r="Q38" s="19">
        <f>ROUND((L38*M38*N38)/1000000,3)</f>
        <v/>
      </c>
      <c r="R38" s="19" t="n"/>
      <c r="S38" s="19" t="n"/>
      <c r="T38" s="4" t="n"/>
      <c r="U38" s="4" t="n"/>
      <c r="V38" s="19" t="n"/>
      <c r="W38" s="19" t="n"/>
      <c r="X38" s="4">
        <f>AR38*(W38+35+10)</f>
        <v/>
      </c>
      <c r="Y38" s="4">
        <f>AR38*(W38+35+10+45)</f>
        <v/>
      </c>
      <c r="Z38" s="4">
        <f>AA38+AB38+AC38</f>
        <v/>
      </c>
      <c r="AA38" s="4" t="n"/>
      <c r="AB38" s="4" t="n"/>
      <c r="AC38" s="4" t="n"/>
      <c r="AD38" s="4">
        <f>AA38+AB38</f>
        <v/>
      </c>
      <c r="AE38" s="13">
        <f>IF(AD38&lt;=AT38,"库存不足",IF(AD38&gt;=AT38*1.5,"库存预警","库存正常"))</f>
        <v/>
      </c>
      <c r="AF38" s="4">
        <f>MAX(AT38-AA38-AB38,0)</f>
        <v/>
      </c>
      <c r="AG38" s="4">
        <f>MAX(X38-AD38,0)</f>
        <v/>
      </c>
      <c r="AH38" s="4">
        <f>AF38-AG38</f>
        <v/>
      </c>
      <c r="AI38" s="14">
        <f>AX38+(AA38+AB38)/AR38-60</f>
        <v/>
      </c>
      <c r="AJ38" s="4" t="n"/>
      <c r="AK38" s="15" t="n"/>
      <c r="AL38" s="15" t="n"/>
      <c r="AM38" s="15" t="n"/>
      <c r="AN38" s="15" t="n"/>
      <c r="AO38" s="4">
        <f>ROUND(AK38/7,0)</f>
        <v/>
      </c>
      <c r="AP38" s="4">
        <f>ROUND(AL38/15,0)</f>
        <v/>
      </c>
      <c r="AQ38" s="4">
        <f>ROUND(AM38/30,0)</f>
        <v/>
      </c>
      <c r="AR38" s="4" t="n"/>
      <c r="AS38" s="4" t="n"/>
      <c r="AT38" s="4">
        <f>AR38*(W38+7+30)</f>
        <v/>
      </c>
      <c r="AU38" s="4" t="n"/>
      <c r="AV38" s="4">
        <f>MAX(0,AT38-AD38-AC38)</f>
        <v/>
      </c>
      <c r="AW38" s="4" t="n"/>
      <c r="AX38" s="14">
        <f>TODAY()</f>
        <v/>
      </c>
      <c r="AY38" s="4" t="n"/>
      <c r="AZ38" s="4" t="n"/>
      <c r="BA38" s="16" t="n"/>
      <c r="BB38" s="16" t="n"/>
      <c r="BC38" s="16" t="n"/>
    </row>
    <row r="39" ht="14.25" customHeight="1" s="31">
      <c r="A39" s="19" t="n"/>
      <c r="B39" s="19" t="n"/>
      <c r="C39" s="19" t="n"/>
      <c r="D39" s="19" t="n"/>
      <c r="E39" s="19" t="n"/>
      <c r="F39" s="19" t="n"/>
      <c r="G39" s="34" t="n"/>
      <c r="H39" s="34" t="n"/>
      <c r="I39" s="34" t="n"/>
      <c r="J39" s="19" t="n"/>
      <c r="K39" s="19">
        <f>J39/1000</f>
        <v/>
      </c>
      <c r="L39" s="34" t="n"/>
      <c r="M39" s="34" t="n"/>
      <c r="N39" s="34" t="n"/>
      <c r="O39" s="19" t="n"/>
      <c r="P39" s="19" t="n"/>
      <c r="Q39" s="19">
        <f>ROUND((L39*M39*N39)/1000000,3)</f>
        <v/>
      </c>
      <c r="R39" s="19" t="n"/>
      <c r="S39" s="19" t="n"/>
      <c r="T39" s="4" t="n"/>
      <c r="U39" s="4" t="n"/>
      <c r="V39" s="19" t="n"/>
      <c r="W39" s="19" t="n"/>
      <c r="X39" s="4">
        <f>AR39*(W39+35+10)</f>
        <v/>
      </c>
      <c r="Y39" s="4">
        <f>AR39*(W39+35+10+45)</f>
        <v/>
      </c>
      <c r="Z39" s="4">
        <f>AA39+AB39+AC39</f>
        <v/>
      </c>
      <c r="AA39" s="4" t="n"/>
      <c r="AB39" s="4" t="n"/>
      <c r="AC39" s="4" t="n"/>
      <c r="AD39" s="4">
        <f>AA39+AB39</f>
        <v/>
      </c>
      <c r="AE39" s="13">
        <f>IF(AD39&lt;=AT39,"库存不足",IF(AD39&gt;=AT39*1.5,"库存预警","库存正常"))</f>
        <v/>
      </c>
      <c r="AF39" s="4">
        <f>MAX(AT39-AA39-AB39,0)</f>
        <v/>
      </c>
      <c r="AG39" s="4">
        <f>MAX(X39-AD39,0)</f>
        <v/>
      </c>
      <c r="AH39" s="4">
        <f>AF39-AG39</f>
        <v/>
      </c>
      <c r="AI39" s="14">
        <f>AX39+(AA39+AB39)/AR39-60</f>
        <v/>
      </c>
      <c r="AJ39" s="4" t="n"/>
      <c r="AK39" s="15" t="n"/>
      <c r="AL39" s="15" t="n"/>
      <c r="AM39" s="15" t="n"/>
      <c r="AN39" s="15" t="n"/>
      <c r="AO39" s="4">
        <f>ROUND(AK39/7,0)</f>
        <v/>
      </c>
      <c r="AP39" s="4">
        <f>ROUND(AL39/15,0)</f>
        <v/>
      </c>
      <c r="AQ39" s="4">
        <f>ROUND(AM39/30,0)</f>
        <v/>
      </c>
      <c r="AR39" s="4" t="n"/>
      <c r="AS39" s="4" t="n"/>
      <c r="AT39" s="4">
        <f>AR39*(W39+7+30)</f>
        <v/>
      </c>
      <c r="AU39" s="4" t="n"/>
      <c r="AV39" s="4">
        <f>MAX(0,AT39-AD39-AC39)</f>
        <v/>
      </c>
      <c r="AW39" s="4" t="n"/>
      <c r="AX39" s="14">
        <f>TODAY()</f>
        <v/>
      </c>
      <c r="AY39" s="4" t="n"/>
      <c r="AZ39" s="4" t="n"/>
      <c r="BA39" s="16" t="n"/>
      <c r="BB39" s="16" t="n"/>
      <c r="BC39" s="16" t="n"/>
    </row>
    <row r="40" ht="14.25" customHeight="1" s="31">
      <c r="A40" s="4" t="n"/>
      <c r="B40" s="19" t="n"/>
      <c r="C40" s="4" t="n"/>
      <c r="D40" s="19" t="n"/>
      <c r="E40" s="19" t="n"/>
      <c r="F40" s="19" t="n"/>
      <c r="G40" s="34" t="n"/>
      <c r="H40" s="34" t="n"/>
      <c r="I40" s="34" t="n"/>
      <c r="J40" s="19">
        <f>K40*1000</f>
        <v/>
      </c>
      <c r="K40" s="19" t="n"/>
      <c r="L40" s="19" t="n"/>
      <c r="M40" s="19" t="n"/>
      <c r="N40" s="19" t="n"/>
      <c r="O40" s="19" t="n"/>
      <c r="P40" s="19" t="n"/>
      <c r="Q40" s="19">
        <f>ROUND((L40*M40*N40)/1000000,3)</f>
        <v/>
      </c>
      <c r="R40" s="19" t="n"/>
      <c r="S40" s="19" t="n"/>
      <c r="T40" s="4" t="n"/>
      <c r="U40" s="4" t="n"/>
      <c r="V40" s="19" t="n"/>
      <c r="W40" s="19" t="n"/>
      <c r="X40" s="4">
        <f>AR40*(W40+35+10)</f>
        <v/>
      </c>
      <c r="Y40" s="4">
        <f>AR40*(W40+35+10+45)</f>
        <v/>
      </c>
      <c r="Z40" s="4">
        <f>AA40+AB40+AC40</f>
        <v/>
      </c>
      <c r="AA40" s="4" t="n"/>
      <c r="AB40" s="4" t="n"/>
      <c r="AC40" s="4" t="n"/>
      <c r="AD40" s="4">
        <f>AA40+AB40</f>
        <v/>
      </c>
      <c r="AE40" s="13">
        <f>IF(AD40&lt;=AT40,"库存不足",IF(AD40&gt;=AT40*1.5,"库存预警","库存正常"))</f>
        <v/>
      </c>
      <c r="AF40" s="4">
        <f>MAX(AT40-AA40-AB40,0)</f>
        <v/>
      </c>
      <c r="AG40" s="4">
        <f>MAX(X40-AD40,0)</f>
        <v/>
      </c>
      <c r="AH40" s="4">
        <f>AF40-AG40</f>
        <v/>
      </c>
      <c r="AI40" s="14">
        <f>AX40+(AA40+AB40)/AR40-60</f>
        <v/>
      </c>
      <c r="AJ40" s="4" t="n"/>
      <c r="AK40" s="4" t="n"/>
      <c r="AL40" s="4" t="n"/>
      <c r="AM40" s="4" t="n"/>
      <c r="AN40" s="15" t="n"/>
      <c r="AO40" s="4">
        <f>ROUND(AK40/7,0)</f>
        <v/>
      </c>
      <c r="AP40" s="4">
        <f>ROUND(AL40/15,0)</f>
        <v/>
      </c>
      <c r="AQ40" s="4">
        <f>ROUND(AM40/30,0)</f>
        <v/>
      </c>
      <c r="AR40" s="4" t="n"/>
      <c r="AS40" s="4" t="n"/>
      <c r="AT40" s="4">
        <f>AR40*(W40+7+30)</f>
        <v/>
      </c>
      <c r="AU40" s="4" t="n"/>
      <c r="AV40" s="4">
        <f>MAX(0,AT40-AD40-AC40)</f>
        <v/>
      </c>
      <c r="AW40" s="4" t="n"/>
      <c r="AX40" s="14">
        <f>TODAY()</f>
        <v/>
      </c>
      <c r="AY40" s="4" t="n"/>
      <c r="AZ40" s="4" t="n"/>
      <c r="BA40" s="16" t="n"/>
      <c r="BB40" s="16" t="n"/>
      <c r="BC40" s="16" t="n"/>
    </row>
    <row r="41" ht="14.25" customHeight="1" s="31">
      <c r="A41" s="4" t="n"/>
      <c r="B41" s="19" t="n"/>
      <c r="C41" s="4" t="n"/>
      <c r="D41" s="19" t="n"/>
      <c r="E41" s="19" t="n"/>
      <c r="F41" s="19" t="n"/>
      <c r="G41" s="34" t="n"/>
      <c r="H41" s="34" t="n"/>
      <c r="I41" s="34" t="n"/>
      <c r="J41" s="19">
        <f>K41*1000</f>
        <v/>
      </c>
      <c r="K41" s="19" t="n"/>
      <c r="L41" s="19" t="n"/>
      <c r="M41" s="19" t="n"/>
      <c r="N41" s="19" t="n"/>
      <c r="O41" s="19" t="n"/>
      <c r="P41" s="19" t="n"/>
      <c r="Q41" s="19">
        <f>ROUND((L41*M41*N41)/1000000,3)</f>
        <v/>
      </c>
      <c r="R41" s="19" t="n"/>
      <c r="S41" s="19" t="n"/>
      <c r="T41" s="4" t="n"/>
      <c r="U41" s="4" t="n"/>
      <c r="V41" s="19" t="n"/>
      <c r="W41" s="19" t="n"/>
      <c r="X41" s="4">
        <f>AR41*(W41+35+10)</f>
        <v/>
      </c>
      <c r="Y41" s="4">
        <f>AR41*(W41+35+10+45)</f>
        <v/>
      </c>
      <c r="Z41" s="4">
        <f>AA41+AB41+AC41</f>
        <v/>
      </c>
      <c r="AA41" s="4" t="n"/>
      <c r="AB41" s="4" t="n"/>
      <c r="AC41" s="4" t="n"/>
      <c r="AD41" s="4">
        <f>AA41+AB41</f>
        <v/>
      </c>
      <c r="AE41" s="13">
        <f>IF(AD41&lt;=AT41,"库存不足",IF(AD41&gt;=AT41*1.5,"库存预警","库存正常"))</f>
        <v/>
      </c>
      <c r="AF41" s="4">
        <f>MAX(AT41-AA41-AB41,0)</f>
        <v/>
      </c>
      <c r="AG41" s="4">
        <f>MAX(X41-AD41,0)</f>
        <v/>
      </c>
      <c r="AH41" s="4">
        <f>AF41-AG41</f>
        <v/>
      </c>
      <c r="AI41" s="14">
        <f>AX41+(AA41+AB41)/AR41-60</f>
        <v/>
      </c>
      <c r="AJ41" s="4" t="n"/>
      <c r="AK41" s="4" t="n"/>
      <c r="AL41" s="4" t="n"/>
      <c r="AM41" s="4" t="n"/>
      <c r="AN41" s="15" t="n"/>
      <c r="AO41" s="4">
        <f>ROUND(AK41/7,0)</f>
        <v/>
      </c>
      <c r="AP41" s="4">
        <f>ROUND(AL41/15,0)</f>
        <v/>
      </c>
      <c r="AQ41" s="4">
        <f>ROUND(AM41/30,0)</f>
        <v/>
      </c>
      <c r="AR41" s="4" t="n"/>
      <c r="AS41" s="4" t="n"/>
      <c r="AT41" s="4">
        <f>AR41*(W41+7+30)</f>
        <v/>
      </c>
      <c r="AU41" s="4" t="n"/>
      <c r="AV41" s="4">
        <f>MAX(0,AT41-AD41-AC41)</f>
        <v/>
      </c>
      <c r="AW41" s="4" t="n"/>
      <c r="AX41" s="14">
        <f>TODAY()</f>
        <v/>
      </c>
      <c r="AY41" s="4" t="n"/>
      <c r="AZ41" s="4" t="n"/>
      <c r="BA41" s="16" t="n"/>
      <c r="BB41" s="16" t="n"/>
      <c r="BC41" s="16" t="n"/>
    </row>
    <row r="42" ht="14.25" customHeight="1" s="31">
      <c r="A42" s="4" t="n"/>
      <c r="B42" s="19" t="n"/>
      <c r="C42" s="4" t="n"/>
      <c r="D42" s="19" t="n"/>
      <c r="E42" s="19" t="n"/>
      <c r="F42" s="19" t="n"/>
      <c r="G42" s="34" t="n"/>
      <c r="H42" s="34" t="n"/>
      <c r="I42" s="34" t="n"/>
      <c r="J42" s="19">
        <f>K42*1000</f>
        <v/>
      </c>
      <c r="K42" s="19" t="n"/>
      <c r="L42" s="19" t="n"/>
      <c r="M42" s="19" t="n"/>
      <c r="N42" s="19" t="n"/>
      <c r="O42" s="19" t="n"/>
      <c r="P42" s="19" t="n"/>
      <c r="Q42" s="19">
        <f>ROUND((L42*M42*N42)/1000000,3)</f>
        <v/>
      </c>
      <c r="R42" s="19" t="n"/>
      <c r="S42" s="19" t="n"/>
      <c r="T42" s="4" t="n"/>
      <c r="U42" s="4" t="n"/>
      <c r="V42" s="19" t="n"/>
      <c r="W42" s="19" t="n"/>
      <c r="X42" s="4">
        <f>AR42*(W42+35+10)</f>
        <v/>
      </c>
      <c r="Y42" s="4">
        <f>AR42*(W42+35+10+45)</f>
        <v/>
      </c>
      <c r="Z42" s="4">
        <f>AA42+AB42+AC42</f>
        <v/>
      </c>
      <c r="AA42" s="4" t="n"/>
      <c r="AB42" s="4" t="n"/>
      <c r="AC42" s="4" t="n"/>
      <c r="AD42" s="4">
        <f>AA42+AB42</f>
        <v/>
      </c>
      <c r="AE42" s="13">
        <f>IF(AD42&lt;=AT42,"库存不足",IF(AD42&gt;=AT42*1.5,"库存预警","库存正常"))</f>
        <v/>
      </c>
      <c r="AF42" s="4">
        <f>MAX(AT42-AA42-AB42,0)</f>
        <v/>
      </c>
      <c r="AG42" s="4">
        <f>MAX(X42-AD42,0)</f>
        <v/>
      </c>
      <c r="AH42" s="4">
        <f>AF42-AG42</f>
        <v/>
      </c>
      <c r="AI42" s="14">
        <f>AX42+(AA42+AB42)/AR42-60</f>
        <v/>
      </c>
      <c r="AJ42" s="4" t="n"/>
      <c r="AK42" s="4" t="n"/>
      <c r="AL42" s="4" t="n"/>
      <c r="AM42" s="4" t="n"/>
      <c r="AN42" s="15" t="n"/>
      <c r="AO42" s="4">
        <f>ROUND(AK42/7,0)</f>
        <v/>
      </c>
      <c r="AP42" s="4">
        <f>ROUND(AL42/15,0)</f>
        <v/>
      </c>
      <c r="AQ42" s="4">
        <f>ROUND(AM42/30,0)</f>
        <v/>
      </c>
      <c r="AR42" s="4" t="n"/>
      <c r="AS42" s="4" t="n"/>
      <c r="AT42" s="4">
        <f>AR42*(W42+7+30)</f>
        <v/>
      </c>
      <c r="AU42" s="4" t="n"/>
      <c r="AV42" s="4">
        <f>MAX(0,AT42-AD42-AC42)</f>
        <v/>
      </c>
      <c r="AW42" s="4" t="n"/>
      <c r="AX42" s="14">
        <f>TODAY()</f>
        <v/>
      </c>
      <c r="AY42" s="4" t="n"/>
      <c r="AZ42" s="4" t="n"/>
      <c r="BA42" s="16" t="n"/>
      <c r="BB42" s="16" t="n"/>
      <c r="BC42" s="16" t="n"/>
    </row>
    <row r="43" ht="14.25" customHeight="1" s="31">
      <c r="A43" s="4" t="n"/>
      <c r="B43" s="19" t="n"/>
      <c r="C43" s="4" t="n"/>
      <c r="D43" s="19" t="n"/>
      <c r="E43" s="19" t="n"/>
      <c r="F43" s="19" t="n"/>
      <c r="G43" s="34" t="n"/>
      <c r="H43" s="34" t="n"/>
      <c r="I43" s="34" t="n"/>
      <c r="J43" s="19">
        <f>K43*1000</f>
        <v/>
      </c>
      <c r="K43" s="19" t="n"/>
      <c r="L43" s="19" t="n"/>
      <c r="M43" s="19" t="n"/>
      <c r="N43" s="19" t="n"/>
      <c r="O43" s="19" t="n"/>
      <c r="P43" s="19" t="n"/>
      <c r="Q43" s="19">
        <f>ROUND((L43*M43*N43)/1000000,3)</f>
        <v/>
      </c>
      <c r="R43" s="19" t="n"/>
      <c r="S43" s="19" t="n"/>
      <c r="T43" s="4" t="n"/>
      <c r="U43" s="4" t="n"/>
      <c r="V43" s="19" t="n"/>
      <c r="W43" s="19" t="n"/>
      <c r="X43" s="4">
        <f>AR43*(W43+35+10)</f>
        <v/>
      </c>
      <c r="Y43" s="4">
        <f>AR43*(W43+35+10+45)</f>
        <v/>
      </c>
      <c r="Z43" s="4">
        <f>AA43+AB43+AC43</f>
        <v/>
      </c>
      <c r="AA43" s="4" t="n"/>
      <c r="AB43" s="4" t="n"/>
      <c r="AC43" s="4" t="n"/>
      <c r="AD43" s="4">
        <f>AA43+AB43</f>
        <v/>
      </c>
      <c r="AE43" s="13">
        <f>IF(AD43&lt;=AT43,"库存不足",IF(AD43&gt;=AT43*1.5,"库存预警","库存正常"))</f>
        <v/>
      </c>
      <c r="AF43" s="4">
        <f>MAX(AT43-AA43-AB43,0)</f>
        <v/>
      </c>
      <c r="AG43" s="4">
        <f>MAX(X43-AD43,0)</f>
        <v/>
      </c>
      <c r="AH43" s="4">
        <f>AF43-AG43</f>
        <v/>
      </c>
      <c r="AI43" s="14">
        <f>AX43+(AA43+AB43)/AR43-60</f>
        <v/>
      </c>
      <c r="AJ43" s="4" t="n"/>
      <c r="AK43" s="4" t="n"/>
      <c r="AL43" s="4" t="n"/>
      <c r="AM43" s="4" t="n"/>
      <c r="AN43" s="15" t="n"/>
      <c r="AO43" s="4">
        <f>ROUND(AK43/7,0)</f>
        <v/>
      </c>
      <c r="AP43" s="4">
        <f>ROUND(AL43/15,0)</f>
        <v/>
      </c>
      <c r="AQ43" s="4">
        <f>ROUND(AM43/30,0)</f>
        <v/>
      </c>
      <c r="AR43" s="4" t="n"/>
      <c r="AS43" s="4" t="n"/>
      <c r="AT43" s="4">
        <f>AR43*(W43+7+30)</f>
        <v/>
      </c>
      <c r="AU43" s="4" t="n"/>
      <c r="AV43" s="4">
        <f>MAX(0,AT43-AD43-AC43)</f>
        <v/>
      </c>
      <c r="AW43" s="4" t="n"/>
      <c r="AX43" s="14">
        <f>TODAY()</f>
        <v/>
      </c>
      <c r="AY43" s="4" t="n"/>
      <c r="AZ43" s="4" t="n"/>
      <c r="BA43" s="16" t="n"/>
      <c r="BB43" s="16" t="n"/>
      <c r="BC43" s="16" t="n"/>
    </row>
    <row r="44" ht="14.25" customHeight="1" s="31">
      <c r="A44" s="4" t="n"/>
      <c r="B44" s="19" t="n"/>
      <c r="C44" s="4" t="n"/>
      <c r="D44" s="19" t="n"/>
      <c r="E44" s="19" t="n"/>
      <c r="F44" s="19" t="n"/>
      <c r="G44" s="34" t="n"/>
      <c r="H44" s="34" t="n"/>
      <c r="I44" s="34" t="n"/>
      <c r="J44" s="19">
        <f>K44*1000</f>
        <v/>
      </c>
      <c r="K44" s="19" t="n"/>
      <c r="L44" s="19" t="n"/>
      <c r="M44" s="19" t="n"/>
      <c r="N44" s="19" t="n"/>
      <c r="O44" s="19" t="n"/>
      <c r="P44" s="19" t="n"/>
      <c r="Q44" s="19">
        <f>ROUND((L44*M44*N44)/1000000,3)</f>
        <v/>
      </c>
      <c r="R44" s="19" t="n"/>
      <c r="S44" s="19" t="n"/>
      <c r="T44" s="4" t="n"/>
      <c r="U44" s="4" t="n"/>
      <c r="V44" s="19" t="n"/>
      <c r="W44" s="19" t="n"/>
      <c r="X44" s="4">
        <f>AR44*(W44+35+10)</f>
        <v/>
      </c>
      <c r="Y44" s="4">
        <f>AR44*(W44+35+10+45)</f>
        <v/>
      </c>
      <c r="Z44" s="4">
        <f>AA44+AB44+AC44</f>
        <v/>
      </c>
      <c r="AA44" s="4" t="n"/>
      <c r="AB44" s="4" t="n"/>
      <c r="AC44" s="4" t="n"/>
      <c r="AD44" s="4">
        <f>AA44+AB44</f>
        <v/>
      </c>
      <c r="AE44" s="13">
        <f>IF(AD44&lt;=AT44,"库存不足",IF(AD44&gt;=AT44*1.5,"库存预警","库存正常"))</f>
        <v/>
      </c>
      <c r="AF44" s="4">
        <f>MAX(AT44-AA44-AB44,0)</f>
        <v/>
      </c>
      <c r="AG44" s="4">
        <f>MAX(X44-AD44,0)</f>
        <v/>
      </c>
      <c r="AH44" s="4">
        <f>AF44-AG44</f>
        <v/>
      </c>
      <c r="AI44" s="14">
        <f>AX44+(AA44+AB44)/AR44-60</f>
        <v/>
      </c>
      <c r="AJ44" s="4" t="n"/>
      <c r="AK44" s="4" t="n"/>
      <c r="AL44" s="4" t="n"/>
      <c r="AM44" s="4" t="n"/>
      <c r="AN44" s="15" t="n"/>
      <c r="AO44" s="4">
        <f>ROUND(AK44/7,0)</f>
        <v/>
      </c>
      <c r="AP44" s="4">
        <f>ROUND(AL44/15,0)</f>
        <v/>
      </c>
      <c r="AQ44" s="4">
        <f>ROUND(AM44/30,0)</f>
        <v/>
      </c>
      <c r="AR44" s="4" t="n"/>
      <c r="AS44" s="4" t="n"/>
      <c r="AT44" s="4">
        <f>AR44*(W44+7+30)</f>
        <v/>
      </c>
      <c r="AU44" s="4" t="n"/>
      <c r="AV44" s="4">
        <f>MAX(0,AT44-AD44-AC44)</f>
        <v/>
      </c>
      <c r="AW44" s="4" t="n"/>
      <c r="AX44" s="14">
        <f>TODAY()</f>
        <v/>
      </c>
      <c r="AY44" s="4" t="n"/>
      <c r="AZ44" s="4" t="n"/>
      <c r="BA44" s="16" t="n"/>
      <c r="BB44" s="16" t="n"/>
      <c r="BC44" s="16" t="n"/>
    </row>
    <row r="45" ht="14.25" customHeight="1" s="31">
      <c r="A45" s="4" t="n"/>
      <c r="B45" s="19" t="n"/>
      <c r="C45" s="4" t="n"/>
      <c r="D45" s="19" t="n"/>
      <c r="E45" s="19" t="n"/>
      <c r="F45" s="19" t="n"/>
      <c r="G45" s="34" t="n"/>
      <c r="H45" s="34" t="n"/>
      <c r="I45" s="34" t="n"/>
      <c r="J45" s="19">
        <f>K45*1000</f>
        <v/>
      </c>
      <c r="K45" s="19" t="n"/>
      <c r="L45" s="19" t="n"/>
      <c r="M45" s="19" t="n"/>
      <c r="N45" s="19" t="n"/>
      <c r="O45" s="19" t="n"/>
      <c r="P45" s="19" t="n"/>
      <c r="Q45" s="19">
        <f>ROUND((L45*M45*N45)/1000000,3)</f>
        <v/>
      </c>
      <c r="R45" s="19" t="n"/>
      <c r="S45" s="19" t="n"/>
      <c r="T45" s="4" t="n"/>
      <c r="U45" s="4" t="n"/>
      <c r="V45" s="19" t="n"/>
      <c r="W45" s="19" t="n"/>
      <c r="X45" s="4">
        <f>AR45*(W45+35+10)</f>
        <v/>
      </c>
      <c r="Y45" s="4">
        <f>AR45*(W45+35+10+45)</f>
        <v/>
      </c>
      <c r="Z45" s="4">
        <f>AA45+AB45+AC45</f>
        <v/>
      </c>
      <c r="AA45" s="4" t="n"/>
      <c r="AB45" s="4" t="n"/>
      <c r="AC45" s="4" t="n"/>
      <c r="AD45" s="4">
        <f>AA45+AB45</f>
        <v/>
      </c>
      <c r="AE45" s="13">
        <f>IF(AD45&lt;=AT45,"库存不足",IF(AD45&gt;=AT45*1.5,"库存预警","库存正常"))</f>
        <v/>
      </c>
      <c r="AF45" s="4">
        <f>MAX(AT45-AA45-AB45,0)</f>
        <v/>
      </c>
      <c r="AG45" s="4">
        <f>MAX(X45-AD45,0)</f>
        <v/>
      </c>
      <c r="AH45" s="4">
        <f>AF45-AG45</f>
        <v/>
      </c>
      <c r="AI45" s="14">
        <f>AX45+(AA45+AB45)/AR45-60</f>
        <v/>
      </c>
      <c r="AJ45" s="4" t="n"/>
      <c r="AK45" s="4" t="n"/>
      <c r="AL45" s="4" t="n"/>
      <c r="AM45" s="4" t="n"/>
      <c r="AN45" s="15" t="n"/>
      <c r="AO45" s="4">
        <f>ROUND(AK45/7,0)</f>
        <v/>
      </c>
      <c r="AP45" s="4">
        <f>ROUND(AL45/15,0)</f>
        <v/>
      </c>
      <c r="AQ45" s="4">
        <f>ROUND(AM45/30,0)</f>
        <v/>
      </c>
      <c r="AR45" s="4" t="n"/>
      <c r="AS45" s="4" t="n"/>
      <c r="AT45" s="4">
        <f>AR45*(W45+7+30)</f>
        <v/>
      </c>
      <c r="AU45" s="4" t="n"/>
      <c r="AV45" s="4">
        <f>MAX(0,AT45-AD45-AC45)</f>
        <v/>
      </c>
      <c r="AW45" s="4" t="n"/>
      <c r="AX45" s="14">
        <f>TODAY()</f>
        <v/>
      </c>
      <c r="AY45" s="4" t="n"/>
      <c r="AZ45" s="4" t="n"/>
      <c r="BA45" s="16" t="n"/>
      <c r="BB45" s="16" t="n"/>
      <c r="BC45" s="16" t="n"/>
    </row>
    <row r="46" ht="14.25" customHeight="1" s="31">
      <c r="A46" s="4" t="n"/>
      <c r="B46" s="19" t="n"/>
      <c r="C46" s="4" t="n"/>
      <c r="D46" s="19" t="n"/>
      <c r="E46" s="19" t="n"/>
      <c r="F46" s="19" t="n"/>
      <c r="G46" s="34" t="n"/>
      <c r="H46" s="34" t="n"/>
      <c r="I46" s="34" t="n"/>
      <c r="J46" s="19">
        <f>K46*1000</f>
        <v/>
      </c>
      <c r="K46" s="19" t="n"/>
      <c r="L46" s="19" t="n"/>
      <c r="M46" s="19" t="n"/>
      <c r="N46" s="19" t="n"/>
      <c r="O46" s="19" t="n"/>
      <c r="P46" s="19" t="n"/>
      <c r="Q46" s="19">
        <f>ROUND((L46*M46*N46)/1000000,3)</f>
        <v/>
      </c>
      <c r="R46" s="19" t="n"/>
      <c r="S46" s="19" t="n"/>
      <c r="T46" s="4" t="n"/>
      <c r="U46" s="4" t="n"/>
      <c r="V46" s="19" t="n"/>
      <c r="W46" s="19" t="n"/>
      <c r="X46" s="4">
        <f>AR46*(W46+35+10)</f>
        <v/>
      </c>
      <c r="Y46" s="4">
        <f>AR46*(W46+35+10+45)</f>
        <v/>
      </c>
      <c r="Z46" s="4">
        <f>AA46+AB46+AC46</f>
        <v/>
      </c>
      <c r="AA46" s="4" t="n"/>
      <c r="AB46" s="4" t="n"/>
      <c r="AC46" s="4" t="n"/>
      <c r="AD46" s="4">
        <f>AA46+AB46</f>
        <v/>
      </c>
      <c r="AE46" s="13">
        <f>IF(AD46&lt;=AT46,"库存不足",IF(AD46&gt;=AT46*1.5,"库存预警","库存正常"))</f>
        <v/>
      </c>
      <c r="AF46" s="4">
        <f>MAX(AT46-AA46-AB46,0)</f>
        <v/>
      </c>
      <c r="AG46" s="4">
        <f>MAX(X46-AD46,0)</f>
        <v/>
      </c>
      <c r="AH46" s="4">
        <f>AF46-AG46</f>
        <v/>
      </c>
      <c r="AI46" s="14">
        <f>AX46+(AA46+AB46)/AR46-60</f>
        <v/>
      </c>
      <c r="AJ46" s="4" t="n"/>
      <c r="AK46" s="4" t="n"/>
      <c r="AL46" s="4" t="n"/>
      <c r="AM46" s="4" t="n"/>
      <c r="AN46" s="15" t="n"/>
      <c r="AO46" s="4">
        <f>ROUND(AK46/7,0)</f>
        <v/>
      </c>
      <c r="AP46" s="4">
        <f>ROUND(AL46/15,0)</f>
        <v/>
      </c>
      <c r="AQ46" s="4">
        <f>ROUND(AM46/30,0)</f>
        <v/>
      </c>
      <c r="AR46" s="4" t="n"/>
      <c r="AS46" s="4" t="n"/>
      <c r="AT46" s="4">
        <f>AR46*(W46+7+30)</f>
        <v/>
      </c>
      <c r="AU46" s="4" t="n"/>
      <c r="AV46" s="4">
        <f>MAX(0,AT46-AD46-AC46)</f>
        <v/>
      </c>
      <c r="AW46" s="4" t="n"/>
      <c r="AX46" s="14">
        <f>TODAY()</f>
        <v/>
      </c>
      <c r="AY46" s="4" t="n"/>
      <c r="AZ46" s="4" t="n"/>
      <c r="BA46" s="16" t="n"/>
      <c r="BB46" s="16" t="n"/>
      <c r="BC46" s="16" t="n"/>
    </row>
    <row r="47" ht="14.25" customHeight="1" s="31">
      <c r="A47" s="4" t="n"/>
      <c r="B47" s="19" t="n"/>
      <c r="C47" s="4" t="n"/>
      <c r="D47" s="19" t="n"/>
      <c r="E47" s="19" t="n"/>
      <c r="F47" s="19" t="n"/>
      <c r="G47" s="34" t="n"/>
      <c r="H47" s="34" t="n"/>
      <c r="I47" s="34" t="n"/>
      <c r="J47" s="19" t="n"/>
      <c r="K47" s="19" t="n"/>
      <c r="L47" s="19" t="n"/>
      <c r="M47" s="19" t="n"/>
      <c r="N47" s="19" t="n"/>
      <c r="O47" s="19" t="n"/>
      <c r="P47" s="19" t="n"/>
      <c r="Q47" s="19">
        <f>ROUND((L47*M47*N47)/1000000,3)</f>
        <v/>
      </c>
      <c r="R47" s="19" t="n"/>
      <c r="S47" s="19" t="n"/>
      <c r="T47" s="4" t="n"/>
      <c r="U47" s="4" t="n"/>
      <c r="V47" s="19" t="n"/>
      <c r="W47" s="19" t="n"/>
      <c r="X47" s="4">
        <f>AR47*(W47+35+10)</f>
        <v/>
      </c>
      <c r="Y47" s="4">
        <f>AR47*(W47+35+10+45)</f>
        <v/>
      </c>
      <c r="Z47" s="4">
        <f>AA47+AB47+AC47</f>
        <v/>
      </c>
      <c r="AA47" s="4" t="n"/>
      <c r="AB47" s="4" t="n"/>
      <c r="AC47" s="4" t="n"/>
      <c r="AD47" s="4">
        <f>AA47+AB47</f>
        <v/>
      </c>
      <c r="AE47" s="13">
        <f>IF(AD47&lt;=AT47,"库存不足",IF(AD47&gt;=AT47*1.5,"库存预警","库存正常"))</f>
        <v/>
      </c>
      <c r="AF47" s="4">
        <f>MAX(AT47-AA47-AB47,0)</f>
        <v/>
      </c>
      <c r="AG47" s="4">
        <f>MAX(X47-AD47,0)</f>
        <v/>
      </c>
      <c r="AH47" s="4">
        <f>AF47-AG47</f>
        <v/>
      </c>
      <c r="AI47" s="14">
        <f>AX47+(AA47+AB47)/AR47-60</f>
        <v/>
      </c>
      <c r="AJ47" s="4" t="n"/>
      <c r="AK47" s="4" t="n"/>
      <c r="AL47" s="4" t="n"/>
      <c r="AM47" s="4" t="n"/>
      <c r="AN47" s="15" t="n"/>
      <c r="AO47" s="4">
        <f>ROUND(AK47/7,0)</f>
        <v/>
      </c>
      <c r="AP47" s="4">
        <f>ROUND(AL47/15,0)</f>
        <v/>
      </c>
      <c r="AQ47" s="4">
        <f>ROUND(AM47/30,0)</f>
        <v/>
      </c>
      <c r="AR47" s="4" t="n"/>
      <c r="AS47" s="4" t="n"/>
      <c r="AT47" s="4">
        <f>AR47*(W47+7+30)</f>
        <v/>
      </c>
      <c r="AU47" s="4" t="n"/>
      <c r="AV47" s="4">
        <f>MAX(0,AT47-AD47-AC47)</f>
        <v/>
      </c>
      <c r="AW47" s="4" t="n"/>
      <c r="AX47" s="14">
        <f>TODAY()</f>
        <v/>
      </c>
      <c r="AY47" s="4" t="n"/>
      <c r="AZ47" s="4" t="n"/>
      <c r="BA47" s="16" t="n"/>
      <c r="BB47" s="16" t="n"/>
      <c r="BC47" s="16" t="n"/>
    </row>
    <row r="48" ht="14.25" customHeight="1" s="31">
      <c r="A48" s="4" t="n"/>
      <c r="B48" s="19" t="n"/>
      <c r="C48" s="4" t="n"/>
      <c r="D48" s="19" t="n"/>
      <c r="E48" s="19" t="n"/>
      <c r="F48" s="19" t="n"/>
      <c r="G48" s="34" t="n"/>
      <c r="H48" s="34" t="n"/>
      <c r="I48" s="34" t="n"/>
      <c r="J48" s="19">
        <f>K48*1000</f>
        <v/>
      </c>
      <c r="K48" s="19" t="n"/>
      <c r="L48" s="19" t="n"/>
      <c r="M48" s="19" t="n"/>
      <c r="N48" s="19" t="n"/>
      <c r="O48" s="19" t="n"/>
      <c r="P48" s="34" t="n"/>
      <c r="Q48" s="19">
        <f>ROUND((L48*M48*N48)/1000000,3)</f>
        <v/>
      </c>
      <c r="R48" s="19" t="n"/>
      <c r="S48" s="19" t="n"/>
      <c r="T48" s="4" t="n"/>
      <c r="U48" s="4" t="n"/>
      <c r="V48" s="19" t="n"/>
      <c r="W48" s="19" t="n"/>
      <c r="X48" s="4">
        <f>AR48*(W48+35+10)</f>
        <v/>
      </c>
      <c r="Y48" s="4">
        <f>AR48*(W48+35+10+45)</f>
        <v/>
      </c>
      <c r="Z48" s="4">
        <f>AA48+AB48+AC48</f>
        <v/>
      </c>
      <c r="AA48" s="4" t="n"/>
      <c r="AB48" s="4" t="n"/>
      <c r="AC48" s="4" t="n"/>
      <c r="AD48" s="4">
        <f>AA48+AB48</f>
        <v/>
      </c>
      <c r="AE48" s="13">
        <f>IF(AD48&lt;=AT48,"库存不足",IF(AD48&gt;=AT48*1.5,"库存预警","库存正常"))</f>
        <v/>
      </c>
      <c r="AF48" s="4">
        <f>MAX(AT48-AA48-AB48,0)</f>
        <v/>
      </c>
      <c r="AG48" s="4">
        <f>MAX(X48-AD48,0)</f>
        <v/>
      </c>
      <c r="AH48" s="4">
        <f>AF48-AG48</f>
        <v/>
      </c>
      <c r="AI48" s="14">
        <f>AX48+(AA48+AB48)/AR48-60</f>
        <v/>
      </c>
      <c r="AJ48" s="4" t="n"/>
      <c r="AK48" s="4" t="n"/>
      <c r="AL48" s="4" t="n"/>
      <c r="AM48" s="4" t="n"/>
      <c r="AN48" s="15" t="n"/>
      <c r="AO48" s="4">
        <f>ROUND(AK48/7,0)</f>
        <v/>
      </c>
      <c r="AP48" s="4">
        <f>ROUND(AL48/15,0)</f>
        <v/>
      </c>
      <c r="AQ48" s="4">
        <f>ROUND(AM48/30,0)</f>
        <v/>
      </c>
      <c r="AR48" s="4" t="n"/>
      <c r="AS48" s="4" t="n"/>
      <c r="AT48" s="4">
        <f>AR48*(W48+7+30)</f>
        <v/>
      </c>
      <c r="AU48" s="4" t="n"/>
      <c r="AV48" s="4">
        <f>MAX(0,AT48-AD48-AC48)</f>
        <v/>
      </c>
      <c r="AW48" s="4" t="n"/>
      <c r="AX48" s="14">
        <f>TODAY()</f>
        <v/>
      </c>
      <c r="AY48" s="4" t="n"/>
      <c r="AZ48" s="4" t="n"/>
      <c r="BA48" s="16" t="n"/>
      <c r="BB48" s="16" t="n"/>
      <c r="BC48" s="16" t="n"/>
    </row>
    <row r="49" ht="14.25" customHeight="1" s="31">
      <c r="A49" s="4" t="n"/>
      <c r="B49" s="19" t="n"/>
      <c r="C49" s="4" t="n"/>
      <c r="D49" s="19" t="n"/>
      <c r="E49" s="19" t="n"/>
      <c r="F49" s="19" t="n"/>
      <c r="G49" s="34" t="n"/>
      <c r="H49" s="34" t="n"/>
      <c r="I49" s="34" t="n"/>
      <c r="J49" s="19">
        <f>K49*1000</f>
        <v/>
      </c>
      <c r="K49" s="19" t="n"/>
      <c r="L49" s="19" t="n"/>
      <c r="M49" s="19" t="n"/>
      <c r="N49" s="19" t="n"/>
      <c r="O49" s="19" t="n"/>
      <c r="P49" s="34" t="n"/>
      <c r="Q49" s="19">
        <f>ROUND((L49*M49*N49)/1000000,3)</f>
        <v/>
      </c>
      <c r="R49" s="19" t="n"/>
      <c r="S49" s="19" t="n"/>
      <c r="T49" s="4" t="n"/>
      <c r="U49" s="4" t="n"/>
      <c r="V49" s="19" t="n"/>
      <c r="W49" s="19" t="n"/>
      <c r="X49" s="4">
        <f>AR49*(W49+35+10)</f>
        <v/>
      </c>
      <c r="Y49" s="4">
        <f>AR49*(W49+35+10+45)</f>
        <v/>
      </c>
      <c r="Z49" s="4">
        <f>AA49+AB49+AC49</f>
        <v/>
      </c>
      <c r="AA49" s="4" t="n"/>
      <c r="AB49" s="4" t="n"/>
      <c r="AC49" s="4" t="n"/>
      <c r="AD49" s="4">
        <f>AA49+AB49</f>
        <v/>
      </c>
      <c r="AE49" s="13">
        <f>IF(AD49&lt;=AT49,"库存不足",IF(AD49&gt;=AT49*1.5,"库存预警","库存正常"))</f>
        <v/>
      </c>
      <c r="AF49" s="4">
        <f>MAX(AT49-AA49-AB49,0)</f>
        <v/>
      </c>
      <c r="AG49" s="4">
        <f>MAX(X49-AD49,0)</f>
        <v/>
      </c>
      <c r="AH49" s="4">
        <f>AF49-AG49</f>
        <v/>
      </c>
      <c r="AI49" s="14">
        <f>AX49+(AA49+AB49)/AR49-60</f>
        <v/>
      </c>
      <c r="AJ49" s="4" t="n"/>
      <c r="AK49" s="4" t="n"/>
      <c r="AL49" s="4" t="n"/>
      <c r="AM49" s="4" t="n"/>
      <c r="AN49" s="15" t="n"/>
      <c r="AO49" s="4">
        <f>ROUND(AK49/7,0)</f>
        <v/>
      </c>
      <c r="AP49" s="4">
        <f>ROUND(AL49/15,0)</f>
        <v/>
      </c>
      <c r="AQ49" s="4">
        <f>ROUND(AM49/30,0)</f>
        <v/>
      </c>
      <c r="AR49" s="4" t="n"/>
      <c r="AS49" s="4" t="n"/>
      <c r="AT49" s="4">
        <f>AR49*(W49+7+30)</f>
        <v/>
      </c>
      <c r="AU49" s="4" t="n"/>
      <c r="AV49" s="4">
        <f>MAX(0,AT49-AD49-AC49)</f>
        <v/>
      </c>
      <c r="AW49" s="4" t="n"/>
      <c r="AX49" s="14">
        <f>TODAY()</f>
        <v/>
      </c>
      <c r="AY49" s="4" t="n"/>
      <c r="AZ49" s="4" t="n"/>
      <c r="BA49" s="16" t="n"/>
      <c r="BB49" s="16" t="n"/>
      <c r="BC49" s="16" t="n"/>
    </row>
    <row r="50" ht="14.25" customHeight="1" s="31">
      <c r="A50" s="4" t="n"/>
      <c r="B50" s="19" t="n"/>
      <c r="C50" s="4" t="n"/>
      <c r="D50" s="19" t="n"/>
      <c r="E50" s="19" t="n"/>
      <c r="F50" s="19" t="n"/>
      <c r="G50" s="34" t="n"/>
      <c r="H50" s="34" t="n"/>
      <c r="I50" s="34" t="n"/>
      <c r="J50" s="19">
        <f>K50*1000</f>
        <v/>
      </c>
      <c r="K50" s="19" t="n"/>
      <c r="L50" s="19" t="n"/>
      <c r="M50" s="19" t="n"/>
      <c r="N50" s="19" t="n"/>
      <c r="O50" s="19" t="n"/>
      <c r="P50" s="34" t="n"/>
      <c r="Q50" s="19">
        <f>ROUND((L50*M50*N50)/1000000,3)</f>
        <v/>
      </c>
      <c r="R50" s="19" t="n"/>
      <c r="S50" s="19" t="n"/>
      <c r="T50" s="4" t="n"/>
      <c r="U50" s="4" t="n"/>
      <c r="V50" s="19" t="n"/>
      <c r="W50" s="19" t="n"/>
      <c r="X50" s="4">
        <f>AR50*(W50+35+10)</f>
        <v/>
      </c>
      <c r="Y50" s="4">
        <f>AR50*(W50+35+10+45)</f>
        <v/>
      </c>
      <c r="Z50" s="4">
        <f>AA50+AB50+AC50</f>
        <v/>
      </c>
      <c r="AA50" s="4" t="n"/>
      <c r="AB50" s="4" t="n"/>
      <c r="AC50" s="4" t="n"/>
      <c r="AD50" s="4">
        <f>AA50+AB50</f>
        <v/>
      </c>
      <c r="AE50" s="13">
        <f>IF(AD50&lt;=AT50,"库存不足",IF(AD50&gt;=AT50*1.5,"库存预警","库存正常"))</f>
        <v/>
      </c>
      <c r="AF50" s="4">
        <f>MAX(AT50-AA50-AB50,0)</f>
        <v/>
      </c>
      <c r="AG50" s="4">
        <f>MAX(X50-AD50,0)</f>
        <v/>
      </c>
      <c r="AH50" s="4">
        <f>AF50-AG50</f>
        <v/>
      </c>
      <c r="AI50" s="14">
        <f>AX50+(AA50+AB50)/AR50-60</f>
        <v/>
      </c>
      <c r="AJ50" s="4" t="n"/>
      <c r="AK50" s="4" t="n"/>
      <c r="AL50" s="4" t="n"/>
      <c r="AM50" s="4" t="n"/>
      <c r="AN50" s="15" t="n"/>
      <c r="AO50" s="4">
        <f>ROUND(AK50/7,0)</f>
        <v/>
      </c>
      <c r="AP50" s="4">
        <f>ROUND(AL50/15,0)</f>
        <v/>
      </c>
      <c r="AQ50" s="4">
        <f>ROUND(AM50/30,0)</f>
        <v/>
      </c>
      <c r="AR50" s="4" t="n"/>
      <c r="AS50" s="4" t="n"/>
      <c r="AT50" s="4">
        <f>AR50*(W50+7+30)</f>
        <v/>
      </c>
      <c r="AU50" s="4" t="n"/>
      <c r="AV50" s="4">
        <f>MAX(0,AT50-AD50-AC50)</f>
        <v/>
      </c>
      <c r="AW50" s="4" t="n"/>
      <c r="AX50" s="14">
        <f>TODAY()</f>
        <v/>
      </c>
      <c r="AY50" s="4" t="n"/>
      <c r="AZ50" s="4" t="n"/>
      <c r="BA50" s="16" t="n"/>
      <c r="BB50" s="16" t="n"/>
      <c r="BC50" s="16" t="n"/>
    </row>
    <row r="51" ht="14.25" customHeight="1" s="31">
      <c r="A51" s="4" t="n"/>
      <c r="B51" s="19" t="n"/>
      <c r="C51" s="4" t="n"/>
      <c r="D51" s="19" t="n"/>
      <c r="E51" s="19" t="n"/>
      <c r="F51" s="19" t="n"/>
      <c r="G51" s="34" t="n"/>
      <c r="H51" s="34" t="n"/>
      <c r="I51" s="34" t="n"/>
      <c r="J51" s="19">
        <f>K51*1000</f>
        <v/>
      </c>
      <c r="K51" s="19" t="n"/>
      <c r="L51" s="19" t="n"/>
      <c r="M51" s="19" t="n"/>
      <c r="N51" s="19" t="n"/>
      <c r="O51" s="19" t="n"/>
      <c r="P51" s="34" t="n"/>
      <c r="Q51" s="19">
        <f>ROUND((L51*M51*N51)/1000000,3)</f>
        <v/>
      </c>
      <c r="R51" s="19" t="n"/>
      <c r="S51" s="19" t="n"/>
      <c r="T51" s="4" t="n"/>
      <c r="U51" s="4" t="n"/>
      <c r="V51" s="19" t="n"/>
      <c r="W51" s="19" t="n"/>
      <c r="X51" s="4">
        <f>AR51*(W51+35+10)</f>
        <v/>
      </c>
      <c r="Y51" s="4">
        <f>AR51*(W51+35+10+45)</f>
        <v/>
      </c>
      <c r="Z51" s="4">
        <f>AA51+AB51+AC51</f>
        <v/>
      </c>
      <c r="AA51" s="4" t="n"/>
      <c r="AB51" s="4" t="n"/>
      <c r="AC51" s="4" t="n"/>
      <c r="AD51" s="4">
        <f>AA51+AB51</f>
        <v/>
      </c>
      <c r="AE51" s="13">
        <f>IF(AD51&lt;=AT51,"库存不足",IF(AD51&gt;=AT51*1.5,"库存预警","库存正常"))</f>
        <v/>
      </c>
      <c r="AF51" s="4">
        <f>MAX(AT51-AA51-AB51,0)</f>
        <v/>
      </c>
      <c r="AG51" s="4">
        <f>MAX(X51-AD51,0)</f>
        <v/>
      </c>
      <c r="AH51" s="4">
        <f>AF51-AG51</f>
        <v/>
      </c>
      <c r="AI51" s="14">
        <f>AX51+(AA51+AB51)/AR51-60</f>
        <v/>
      </c>
      <c r="AJ51" s="4" t="n"/>
      <c r="AK51" s="4" t="n"/>
      <c r="AL51" s="4" t="n"/>
      <c r="AM51" s="4" t="n"/>
      <c r="AN51" s="15" t="n"/>
      <c r="AO51" s="4">
        <f>ROUND(AK51/7,0)</f>
        <v/>
      </c>
      <c r="AP51" s="4">
        <f>ROUND(AL51/15,0)</f>
        <v/>
      </c>
      <c r="AQ51" s="4">
        <f>ROUND(AM51/30,0)</f>
        <v/>
      </c>
      <c r="AR51" s="4" t="n"/>
      <c r="AS51" s="4" t="n"/>
      <c r="AT51" s="4">
        <f>AR51*(W51+7+30)</f>
        <v/>
      </c>
      <c r="AU51" s="4" t="n"/>
      <c r="AV51" s="4">
        <f>MAX(0,AT51-AD51-AC51)</f>
        <v/>
      </c>
      <c r="AW51" s="4" t="n"/>
      <c r="AX51" s="14">
        <f>TODAY()</f>
        <v/>
      </c>
      <c r="AY51" s="4" t="n"/>
      <c r="AZ51" s="4" t="n"/>
      <c r="BA51" s="16" t="n"/>
      <c r="BB51" s="16" t="n"/>
      <c r="BC51" s="16" t="n"/>
    </row>
    <row r="52" ht="14.25" customHeight="1" s="31">
      <c r="A52" s="4" t="n"/>
      <c r="B52" s="19" t="n"/>
      <c r="C52" s="4" t="n"/>
      <c r="D52" s="19" t="n"/>
      <c r="E52" s="19" t="n"/>
      <c r="F52" s="19" t="n"/>
      <c r="G52" s="34" t="n"/>
      <c r="H52" s="34" t="n"/>
      <c r="I52" s="34" t="n"/>
      <c r="J52" s="19">
        <f>K52*1000</f>
        <v/>
      </c>
      <c r="K52" s="19" t="n"/>
      <c r="L52" s="19" t="n"/>
      <c r="M52" s="19" t="n"/>
      <c r="N52" s="19" t="n"/>
      <c r="O52" s="19" t="n"/>
      <c r="P52" s="34" t="n"/>
      <c r="Q52" s="19">
        <f>ROUND((L52*M52*N52)/1000000,3)</f>
        <v/>
      </c>
      <c r="R52" s="19" t="n"/>
      <c r="S52" s="19" t="n"/>
      <c r="T52" s="4" t="n"/>
      <c r="U52" s="4" t="n"/>
      <c r="V52" s="19" t="n"/>
      <c r="W52" s="19" t="n"/>
      <c r="X52" s="4">
        <f>AR52*(W52+35+10)</f>
        <v/>
      </c>
      <c r="Y52" s="4">
        <f>AR52*(W52+35+10+45)</f>
        <v/>
      </c>
      <c r="Z52" s="4">
        <f>AA52+AB52+AC52</f>
        <v/>
      </c>
      <c r="AA52" s="4" t="n"/>
      <c r="AB52" s="4" t="n"/>
      <c r="AC52" s="4" t="n"/>
      <c r="AD52" s="4">
        <f>AA52+AB52</f>
        <v/>
      </c>
      <c r="AE52" s="13">
        <f>IF(AD52&lt;=AT52,"库存不足",IF(AD52&gt;=AT52*1.5,"库存预警","库存正常"))</f>
        <v/>
      </c>
      <c r="AF52" s="4">
        <f>MAX(AT52-AA52-AB52,0)</f>
        <v/>
      </c>
      <c r="AG52" s="4">
        <f>MAX(X52-AD52,0)</f>
        <v/>
      </c>
      <c r="AH52" s="4">
        <f>AF52-AG52</f>
        <v/>
      </c>
      <c r="AI52" s="14">
        <f>AX52+(AA52+AB52)/AR52-60</f>
        <v/>
      </c>
      <c r="AJ52" s="4" t="n"/>
      <c r="AK52" s="4" t="n"/>
      <c r="AL52" s="4" t="n"/>
      <c r="AM52" s="4" t="n"/>
      <c r="AN52" s="15" t="n"/>
      <c r="AO52" s="4">
        <f>ROUND(AK52/7,0)</f>
        <v/>
      </c>
      <c r="AP52" s="4">
        <f>ROUND(AL52/15,0)</f>
        <v/>
      </c>
      <c r="AQ52" s="4">
        <f>ROUND(AM52/30,0)</f>
        <v/>
      </c>
      <c r="AR52" s="4" t="n"/>
      <c r="AS52" s="4" t="n"/>
      <c r="AT52" s="4">
        <f>AR52*(W52+7+30)</f>
        <v/>
      </c>
      <c r="AU52" s="4" t="n"/>
      <c r="AV52" s="4">
        <f>MAX(0,AT52-AD52-AC52)</f>
        <v/>
      </c>
      <c r="AW52" s="4" t="n"/>
      <c r="AX52" s="14">
        <f>TODAY()</f>
        <v/>
      </c>
      <c r="AY52" s="4" t="n"/>
      <c r="AZ52" s="4" t="n"/>
      <c r="BA52" s="16" t="n"/>
      <c r="BB52" s="16" t="n"/>
      <c r="BC52" s="16" t="n"/>
    </row>
    <row r="53" ht="14.25" customHeight="1" s="31">
      <c r="A53" s="4" t="n"/>
      <c r="B53" s="19" t="n"/>
      <c r="C53" s="4" t="n"/>
      <c r="D53" s="19" t="n"/>
      <c r="E53" s="19" t="n"/>
      <c r="F53" s="19" t="n"/>
      <c r="G53" s="34" t="n"/>
      <c r="H53" s="34" t="n"/>
      <c r="I53" s="34" t="n"/>
      <c r="J53" s="19" t="n"/>
      <c r="K53" s="19" t="n"/>
      <c r="L53" s="19" t="n"/>
      <c r="M53" s="19" t="n"/>
      <c r="N53" s="19" t="n"/>
      <c r="O53" s="19" t="n"/>
      <c r="P53" s="19" t="n"/>
      <c r="Q53" s="19">
        <f>ROUND((L53*M53*N53)/1000000,3)</f>
        <v/>
      </c>
      <c r="R53" s="19" t="n"/>
      <c r="S53" s="19" t="n"/>
      <c r="T53" s="4" t="n"/>
      <c r="U53" s="4" t="n"/>
      <c r="V53" s="19" t="n"/>
      <c r="W53" s="19" t="n"/>
      <c r="X53" s="4">
        <f>AR53*(W53+35+10)</f>
        <v/>
      </c>
      <c r="Y53" s="4">
        <f>AR53*(W53+35+10+45)</f>
        <v/>
      </c>
      <c r="Z53" s="4">
        <f>AA53+AB53+AC53</f>
        <v/>
      </c>
      <c r="AA53" s="4" t="n"/>
      <c r="AB53" s="4" t="n"/>
      <c r="AC53" s="4" t="n"/>
      <c r="AD53" s="4">
        <f>AA53+AB53</f>
        <v/>
      </c>
      <c r="AE53" s="13">
        <f>IF(AD53&lt;=AT53,"库存不足",IF(AD53&gt;=AT53*1.5,"库存预警","库存正常"))</f>
        <v/>
      </c>
      <c r="AF53" s="4">
        <f>MAX(AT53-AA53-AB53,0)</f>
        <v/>
      </c>
      <c r="AG53" s="4">
        <f>MAX(X53-AD53,0)</f>
        <v/>
      </c>
      <c r="AH53" s="4">
        <f>AF53-AG53</f>
        <v/>
      </c>
      <c r="AI53" s="14">
        <f>AX53+(AA53+AB53)/AR53-60</f>
        <v/>
      </c>
      <c r="AJ53" s="4" t="n"/>
      <c r="AK53" s="4" t="n"/>
      <c r="AL53" s="4" t="n"/>
      <c r="AM53" s="4" t="n"/>
      <c r="AN53" s="15" t="n"/>
      <c r="AO53" s="4">
        <f>ROUND(AK53/7,0)</f>
        <v/>
      </c>
      <c r="AP53" s="4">
        <f>ROUND(AL53/15,0)</f>
        <v/>
      </c>
      <c r="AQ53" s="4">
        <f>ROUND(AM53/30,0)</f>
        <v/>
      </c>
      <c r="AR53" s="4" t="n"/>
      <c r="AS53" s="4" t="n"/>
      <c r="AT53" s="4">
        <f>AR53*(W53+7+30)</f>
        <v/>
      </c>
      <c r="AU53" s="4" t="n"/>
      <c r="AV53" s="4">
        <f>MAX(0,AT53-AD53-AC53)</f>
        <v/>
      </c>
      <c r="AW53" s="4" t="n"/>
      <c r="AX53" s="14">
        <f>TODAY()</f>
        <v/>
      </c>
      <c r="AY53" s="4" t="n"/>
      <c r="AZ53" s="4" t="n"/>
      <c r="BA53" s="16" t="n"/>
      <c r="BB53" s="16" t="n"/>
      <c r="BC53" s="16" t="n"/>
    </row>
    <row r="54" ht="14.25" customHeight="1" s="31">
      <c r="A54" s="4" t="n"/>
      <c r="B54" s="19" t="n"/>
      <c r="C54" s="4" t="n"/>
      <c r="D54" s="19" t="n"/>
      <c r="E54" s="19" t="n"/>
      <c r="F54" s="19" t="n"/>
      <c r="G54" s="34" t="n"/>
      <c r="H54" s="34" t="n"/>
      <c r="I54" s="34" t="n"/>
      <c r="J54" s="19">
        <f>K54*1000</f>
        <v/>
      </c>
      <c r="K54" s="19" t="n"/>
      <c r="L54" s="19" t="n"/>
      <c r="M54" s="19" t="n"/>
      <c r="N54" s="19" t="n"/>
      <c r="O54" s="19" t="n"/>
      <c r="P54" s="19" t="n"/>
      <c r="Q54" s="19">
        <f>ROUND((L54*M54*N54)/1000000,3)</f>
        <v/>
      </c>
      <c r="R54" s="19" t="n"/>
      <c r="S54" s="19" t="n"/>
      <c r="T54" s="4" t="n"/>
      <c r="U54" s="4" t="n"/>
      <c r="V54" s="19" t="n"/>
      <c r="W54" s="19" t="n"/>
      <c r="X54" s="4">
        <f>AR54*(W54+35+10)</f>
        <v/>
      </c>
      <c r="Y54" s="4">
        <f>AR54*(W54+35+10+45)</f>
        <v/>
      </c>
      <c r="Z54" s="4">
        <f>AA54+AB54+AC54</f>
        <v/>
      </c>
      <c r="AA54" s="4" t="n"/>
      <c r="AB54" s="4" t="n"/>
      <c r="AC54" s="4" t="n"/>
      <c r="AD54" s="4">
        <f>AA54+AB54</f>
        <v/>
      </c>
      <c r="AE54" s="13">
        <f>IF(AD54&lt;=AT54,"库存不足",IF(AD54&gt;=AT54*1.5,"库存预警","库存正常"))</f>
        <v/>
      </c>
      <c r="AF54" s="4">
        <f>MAX(AT54-AA54-AB54,0)</f>
        <v/>
      </c>
      <c r="AG54" s="4">
        <f>MAX(X54-AD54,0)</f>
        <v/>
      </c>
      <c r="AH54" s="4">
        <f>AF54-AG54</f>
        <v/>
      </c>
      <c r="AI54" s="14">
        <f>AX54+(AA54+AB54)/AR54-60</f>
        <v/>
      </c>
      <c r="AJ54" s="4" t="n"/>
      <c r="AK54" s="4" t="n"/>
      <c r="AL54" s="4" t="n"/>
      <c r="AM54" s="4" t="n"/>
      <c r="AN54" s="15" t="n"/>
      <c r="AO54" s="4">
        <f>ROUND(AK54/7,0)</f>
        <v/>
      </c>
      <c r="AP54" s="4">
        <f>ROUND(AL54/15,0)</f>
        <v/>
      </c>
      <c r="AQ54" s="4">
        <f>ROUND(AM54/30,0)</f>
        <v/>
      </c>
      <c r="AR54" s="4" t="n"/>
      <c r="AS54" s="4" t="n"/>
      <c r="AT54" s="4">
        <f>AR54*(W54+7+30)</f>
        <v/>
      </c>
      <c r="AU54" s="4" t="n"/>
      <c r="AV54" s="4">
        <f>MAX(0,AT54-AD54-AC54)</f>
        <v/>
      </c>
      <c r="AW54" s="4" t="n"/>
      <c r="AX54" s="14">
        <f>TODAY()</f>
        <v/>
      </c>
      <c r="AY54" s="4" t="n"/>
      <c r="AZ54" s="4" t="n"/>
      <c r="BA54" s="16" t="n"/>
      <c r="BB54" s="16" t="n"/>
      <c r="BC54" s="16" t="n"/>
    </row>
    <row r="55" ht="14.25" customHeight="1" s="31">
      <c r="A55" s="4" t="n"/>
      <c r="B55" s="19" t="n"/>
      <c r="C55" s="4" t="n"/>
      <c r="D55" s="19" t="n"/>
      <c r="E55" s="19" t="n"/>
      <c r="F55" s="19" t="n"/>
      <c r="G55" s="34" t="n"/>
      <c r="H55" s="34" t="n"/>
      <c r="I55" s="34" t="n"/>
      <c r="J55" s="19">
        <f>K55*1000</f>
        <v/>
      </c>
      <c r="K55" s="19" t="n"/>
      <c r="L55" s="19" t="n"/>
      <c r="M55" s="19" t="n"/>
      <c r="N55" s="19" t="n"/>
      <c r="O55" s="19" t="n"/>
      <c r="P55" s="19" t="n"/>
      <c r="Q55" s="19">
        <f>ROUND((L55*M55*N55)/1000000,3)</f>
        <v/>
      </c>
      <c r="R55" s="19" t="n"/>
      <c r="S55" s="19" t="n"/>
      <c r="T55" s="4" t="n"/>
      <c r="U55" s="4" t="n"/>
      <c r="V55" s="19" t="n"/>
      <c r="W55" s="19" t="n"/>
      <c r="X55" s="4">
        <f>AR55*(W55+35+10)</f>
        <v/>
      </c>
      <c r="Y55" s="4">
        <f>AR55*(W55+35+10+45)</f>
        <v/>
      </c>
      <c r="Z55" s="4">
        <f>AA55+AB55+AC55</f>
        <v/>
      </c>
      <c r="AA55" s="4" t="n"/>
      <c r="AB55" s="4" t="n"/>
      <c r="AC55" s="4" t="n"/>
      <c r="AD55" s="4">
        <f>AA55+AB55</f>
        <v/>
      </c>
      <c r="AE55" s="13">
        <f>IF(AD55&lt;=AT55,"库存不足",IF(AD55&gt;=AT55*1.5,"库存预警","库存正常"))</f>
        <v/>
      </c>
      <c r="AF55" s="4">
        <f>MAX(AT55-AA55-AB55,0)</f>
        <v/>
      </c>
      <c r="AG55" s="4">
        <f>MAX(X55-AD55,0)</f>
        <v/>
      </c>
      <c r="AH55" s="4">
        <f>AF55-AG55</f>
        <v/>
      </c>
      <c r="AI55" s="14">
        <f>AX55+(AA55+AB55)/AR55-60</f>
        <v/>
      </c>
      <c r="AJ55" s="4" t="n"/>
      <c r="AK55" s="4" t="n"/>
      <c r="AL55" s="4" t="n"/>
      <c r="AM55" s="4" t="n"/>
      <c r="AN55" s="15" t="n"/>
      <c r="AO55" s="4">
        <f>ROUND(AK55/7,0)</f>
        <v/>
      </c>
      <c r="AP55" s="4">
        <f>ROUND(AL55/15,0)</f>
        <v/>
      </c>
      <c r="AQ55" s="4">
        <f>ROUND(AM55/30,0)</f>
        <v/>
      </c>
      <c r="AR55" s="4" t="n"/>
      <c r="AS55" s="4" t="n"/>
      <c r="AT55" s="4">
        <f>AR55*(W55+7+30)</f>
        <v/>
      </c>
      <c r="AU55" s="4" t="n"/>
      <c r="AV55" s="4">
        <f>MAX(0,AT55-AD55-AC55)</f>
        <v/>
      </c>
      <c r="AW55" s="4" t="n"/>
      <c r="AX55" s="14">
        <f>TODAY()</f>
        <v/>
      </c>
      <c r="AY55" s="4" t="n"/>
      <c r="AZ55" s="4" t="n"/>
      <c r="BA55" s="16" t="n"/>
      <c r="BB55" s="16" t="n"/>
      <c r="BC55" s="16" t="n"/>
    </row>
    <row r="56" ht="14.25" customHeight="1" s="31">
      <c r="A56" s="4" t="n"/>
      <c r="B56" s="19" t="n"/>
      <c r="C56" s="4" t="n"/>
      <c r="D56" s="19" t="n"/>
      <c r="E56" s="19" t="n"/>
      <c r="F56" s="19" t="n"/>
      <c r="G56" s="34" t="n"/>
      <c r="H56" s="34" t="n"/>
      <c r="I56" s="34" t="n"/>
      <c r="J56" s="19">
        <f>K56*1000</f>
        <v/>
      </c>
      <c r="K56" s="19" t="n"/>
      <c r="L56" s="19" t="n"/>
      <c r="M56" s="19" t="n"/>
      <c r="N56" s="19" t="n"/>
      <c r="O56" s="19" t="n"/>
      <c r="P56" s="19" t="n"/>
      <c r="Q56" s="19">
        <f>ROUND((L56*M56*N56)/1000000,3)</f>
        <v/>
      </c>
      <c r="R56" s="19" t="n"/>
      <c r="S56" s="19" t="n"/>
      <c r="T56" s="4" t="n"/>
      <c r="U56" s="4" t="n"/>
      <c r="V56" s="19" t="n"/>
      <c r="W56" s="19" t="n"/>
      <c r="X56" s="4">
        <f>AR56*(W56+35+10)</f>
        <v/>
      </c>
      <c r="Y56" s="4">
        <f>AR56*(W56+35+10+45)</f>
        <v/>
      </c>
      <c r="Z56" s="4">
        <f>AA56+AB56+AC56</f>
        <v/>
      </c>
      <c r="AA56" s="4" t="n"/>
      <c r="AB56" s="4" t="n"/>
      <c r="AC56" s="4" t="n"/>
      <c r="AD56" s="4">
        <f>AA56+AB56</f>
        <v/>
      </c>
      <c r="AE56" s="13">
        <f>IF(AD56&lt;=AT56,"库存不足",IF(AD56&gt;=AT56*1.5,"库存预警","库存正常"))</f>
        <v/>
      </c>
      <c r="AF56" s="4">
        <f>MAX(AT56-AA56-AB56,0)</f>
        <v/>
      </c>
      <c r="AG56" s="4">
        <f>MAX(X56-AD56,0)</f>
        <v/>
      </c>
      <c r="AH56" s="4">
        <f>AF56-AG56</f>
        <v/>
      </c>
      <c r="AI56" s="14">
        <f>AX56+(AA56+AB56)/AR56-60</f>
        <v/>
      </c>
      <c r="AJ56" s="4" t="n"/>
      <c r="AK56" s="4" t="n"/>
      <c r="AL56" s="4" t="n"/>
      <c r="AM56" s="4" t="n"/>
      <c r="AN56" s="15" t="n"/>
      <c r="AO56" s="4">
        <f>ROUND(AK56/7,0)</f>
        <v/>
      </c>
      <c r="AP56" s="4">
        <f>ROUND(AL56/15,0)</f>
        <v/>
      </c>
      <c r="AQ56" s="4">
        <f>ROUND(AM56/30,0)</f>
        <v/>
      </c>
      <c r="AR56" s="4" t="n"/>
      <c r="AS56" s="4" t="n"/>
      <c r="AT56" s="4">
        <f>AR56*(W56+7+30)</f>
        <v/>
      </c>
      <c r="AU56" s="4" t="n"/>
      <c r="AV56" s="4">
        <f>MAX(0,AT56-AD56-AC56)</f>
        <v/>
      </c>
      <c r="AW56" s="4" t="n"/>
      <c r="AX56" s="14">
        <f>TODAY()</f>
        <v/>
      </c>
      <c r="AY56" s="4" t="n"/>
      <c r="AZ56" s="4" t="n"/>
      <c r="BA56" s="16" t="n"/>
      <c r="BB56" s="16" t="n"/>
      <c r="BC56" s="16" t="n"/>
    </row>
    <row r="57" ht="14.25" customHeight="1" s="31">
      <c r="A57" s="4" t="n"/>
      <c r="B57" s="19" t="n"/>
      <c r="C57" s="4" t="n"/>
      <c r="D57" s="19" t="n"/>
      <c r="E57" s="19" t="n"/>
      <c r="F57" s="19" t="n"/>
      <c r="G57" s="34" t="n"/>
      <c r="H57" s="34" t="n"/>
      <c r="I57" s="34" t="n"/>
      <c r="J57" s="19">
        <f>K57*1000</f>
        <v/>
      </c>
      <c r="K57" s="19" t="n"/>
      <c r="L57" s="19" t="n"/>
      <c r="M57" s="19" t="n"/>
      <c r="N57" s="19" t="n"/>
      <c r="O57" s="19" t="n"/>
      <c r="P57" s="19" t="n"/>
      <c r="Q57" s="19">
        <f>ROUND((L57*M57*N57)/1000000,3)</f>
        <v/>
      </c>
      <c r="R57" s="19" t="n"/>
      <c r="S57" s="19" t="n"/>
      <c r="T57" s="4" t="n"/>
      <c r="U57" s="4" t="n"/>
      <c r="V57" s="19" t="n"/>
      <c r="W57" s="19" t="n"/>
      <c r="X57" s="4">
        <f>AR57*(W57+35+10)</f>
        <v/>
      </c>
      <c r="Y57" s="4">
        <f>AR57*(W57+35+10+45)</f>
        <v/>
      </c>
      <c r="Z57" s="4">
        <f>AA57+AB57+AC57</f>
        <v/>
      </c>
      <c r="AA57" s="4" t="n"/>
      <c r="AB57" s="4" t="n"/>
      <c r="AC57" s="4" t="n"/>
      <c r="AD57" s="4">
        <f>AA57+AB57</f>
        <v/>
      </c>
      <c r="AE57" s="13">
        <f>IF(AD57&lt;=AT57,"库存不足",IF(AD57&gt;=AT57*1.5,"库存预警","库存正常"))</f>
        <v/>
      </c>
      <c r="AF57" s="4">
        <f>MAX(AT57-AA57-AB57,0)</f>
        <v/>
      </c>
      <c r="AG57" s="4">
        <f>MAX(X57-AD57,0)</f>
        <v/>
      </c>
      <c r="AH57" s="4">
        <f>AF57-AG57</f>
        <v/>
      </c>
      <c r="AI57" s="14">
        <f>AX57+(AA57+AB57)/AR57-60</f>
        <v/>
      </c>
      <c r="AJ57" s="4" t="n"/>
      <c r="AK57" s="4" t="n"/>
      <c r="AL57" s="4" t="n"/>
      <c r="AM57" s="4" t="n"/>
      <c r="AN57" s="15" t="n"/>
      <c r="AO57" s="4">
        <f>ROUND(AK57/7,0)</f>
        <v/>
      </c>
      <c r="AP57" s="4">
        <f>ROUND(AL57/15,0)</f>
        <v/>
      </c>
      <c r="AQ57" s="4">
        <f>ROUND(AM57/30,0)</f>
        <v/>
      </c>
      <c r="AR57" s="4" t="n"/>
      <c r="AS57" s="4" t="n"/>
      <c r="AT57" s="4">
        <f>AR57*(W57+7+30)</f>
        <v/>
      </c>
      <c r="AU57" s="4" t="n"/>
      <c r="AV57" s="4">
        <f>MAX(0,AT57-AD57-AC57)</f>
        <v/>
      </c>
      <c r="AW57" s="4" t="n"/>
      <c r="AX57" s="14">
        <f>TODAY()</f>
        <v/>
      </c>
      <c r="AY57" s="4" t="n"/>
      <c r="AZ57" s="4" t="n"/>
      <c r="BA57" s="16" t="n"/>
      <c r="BB57" s="16" t="n"/>
      <c r="BC57" s="16" t="n"/>
    </row>
    <row r="58" ht="14.25" customHeight="1" s="31">
      <c r="A58" s="4" t="n"/>
      <c r="B58" s="19" t="n"/>
      <c r="C58" s="4" t="n"/>
      <c r="D58" s="19" t="n"/>
      <c r="E58" s="19" t="n"/>
      <c r="F58" s="19" t="n"/>
      <c r="G58" s="34" t="n"/>
      <c r="H58" s="34" t="n"/>
      <c r="I58" s="34" t="n"/>
      <c r="J58" s="19" t="n"/>
      <c r="K58" s="19" t="n"/>
      <c r="L58" s="19" t="n"/>
      <c r="M58" s="19" t="n"/>
      <c r="N58" s="19" t="n"/>
      <c r="O58" s="19" t="n"/>
      <c r="P58" s="19" t="n"/>
      <c r="Q58" s="19">
        <f>ROUND((L58*M58*N58)/1000000,3)</f>
        <v/>
      </c>
      <c r="R58" s="19" t="n"/>
      <c r="S58" s="19" t="n"/>
      <c r="T58" s="4" t="n"/>
      <c r="U58" s="4" t="n"/>
      <c r="V58" s="19" t="n"/>
      <c r="W58" s="19" t="n"/>
      <c r="X58" s="4">
        <f>AR58*(W58+35+10)</f>
        <v/>
      </c>
      <c r="Y58" s="4">
        <f>AR58*(W58+35+10+45)</f>
        <v/>
      </c>
      <c r="Z58" s="4">
        <f>AA58+AB58+AC58</f>
        <v/>
      </c>
      <c r="AA58" s="4" t="n"/>
      <c r="AB58" s="4" t="n"/>
      <c r="AC58" s="4" t="n"/>
      <c r="AD58" s="4">
        <f>AA58+AB58</f>
        <v/>
      </c>
      <c r="AE58" s="13">
        <f>IF(AD58&lt;=AT58,"库存不足",IF(AD58&gt;=AT58*1.5,"库存预警","库存正常"))</f>
        <v/>
      </c>
      <c r="AF58" s="4">
        <f>MAX(AT58-AA58-AB58,0)</f>
        <v/>
      </c>
      <c r="AG58" s="4">
        <f>MAX(X58-AD58,0)</f>
        <v/>
      </c>
      <c r="AH58" s="4">
        <f>AF58-AG58</f>
        <v/>
      </c>
      <c r="AI58" s="14">
        <f>AX58+(AA58+AB58)/AR58-60</f>
        <v/>
      </c>
      <c r="AJ58" s="4" t="n"/>
      <c r="AK58" s="4" t="n"/>
      <c r="AL58" s="4" t="n"/>
      <c r="AM58" s="4" t="n"/>
      <c r="AN58" s="15" t="n"/>
      <c r="AO58" s="4">
        <f>ROUND(AK58/7,0)</f>
        <v/>
      </c>
      <c r="AP58" s="4">
        <f>ROUND(AL58/15,0)</f>
        <v/>
      </c>
      <c r="AQ58" s="4">
        <f>ROUND(AM58/30,0)</f>
        <v/>
      </c>
      <c r="AR58" s="4" t="n"/>
      <c r="AS58" s="4" t="n"/>
      <c r="AT58" s="4">
        <f>AR58*(W58+7+30)</f>
        <v/>
      </c>
      <c r="AU58" s="4" t="n"/>
      <c r="AV58" s="4">
        <f>MAX(0,AT58-AD58-AC58)</f>
        <v/>
      </c>
      <c r="AW58" s="4" t="n"/>
      <c r="AX58" s="14">
        <f>TODAY()</f>
        <v/>
      </c>
      <c r="AY58" s="4" t="n"/>
      <c r="AZ58" s="4" t="n"/>
      <c r="BA58" s="16" t="n"/>
      <c r="BB58" s="16" t="n"/>
      <c r="BC58" s="16" t="n"/>
    </row>
    <row r="59" ht="14.25" customHeight="1" s="31">
      <c r="A59" s="4" t="n"/>
      <c r="B59" s="19" t="n"/>
      <c r="C59" s="4" t="n"/>
      <c r="D59" s="19" t="n"/>
      <c r="E59" s="19" t="n"/>
      <c r="F59" s="19" t="n"/>
      <c r="G59" s="34" t="n"/>
      <c r="H59" s="34" t="n"/>
      <c r="I59" s="34" t="n"/>
      <c r="J59" s="19">
        <f>K59*1000</f>
        <v/>
      </c>
      <c r="K59" s="19" t="n"/>
      <c r="L59" s="19" t="n"/>
      <c r="M59" s="19" t="n"/>
      <c r="N59" s="19" t="n"/>
      <c r="O59" s="19" t="n"/>
      <c r="P59" s="19" t="n"/>
      <c r="Q59" s="19">
        <f>ROUND((L59*M59*N59)/1000000,3)</f>
        <v/>
      </c>
      <c r="R59" s="19" t="n"/>
      <c r="S59" s="19" t="n"/>
      <c r="T59" s="4" t="n"/>
      <c r="U59" s="4" t="n"/>
      <c r="V59" s="19" t="n"/>
      <c r="W59" s="19" t="n"/>
      <c r="X59" s="4">
        <f>AR59*(W59+35+10)</f>
        <v/>
      </c>
      <c r="Y59" s="4">
        <f>AR59*(W59+35+10+45)</f>
        <v/>
      </c>
      <c r="Z59" s="4">
        <f>AA59+AB59+AC59</f>
        <v/>
      </c>
      <c r="AA59" s="4" t="n"/>
      <c r="AB59" s="4" t="n"/>
      <c r="AC59" s="4" t="n"/>
      <c r="AD59" s="4">
        <f>AA59+AB59</f>
        <v/>
      </c>
      <c r="AE59" s="13">
        <f>IF(AD59&lt;=AT59,"库存不足",IF(AD59&gt;=AT59*1.5,"库存预警","库存正常"))</f>
        <v/>
      </c>
      <c r="AF59" s="4">
        <f>MAX(AT59-AA59-AB59,0)</f>
        <v/>
      </c>
      <c r="AG59" s="4">
        <f>MAX(X59-AD59,0)</f>
        <v/>
      </c>
      <c r="AH59" s="4">
        <f>AF59-AG59</f>
        <v/>
      </c>
      <c r="AI59" s="14">
        <f>AX59+(AA59+AB59)/AR59-60</f>
        <v/>
      </c>
      <c r="AJ59" s="4" t="n"/>
      <c r="AK59" s="4" t="n"/>
      <c r="AL59" s="4" t="n"/>
      <c r="AM59" s="4" t="n"/>
      <c r="AN59" s="15" t="n"/>
      <c r="AO59" s="4">
        <f>ROUND(AK59/7,0)</f>
        <v/>
      </c>
      <c r="AP59" s="4">
        <f>ROUND(AL59/15,0)</f>
        <v/>
      </c>
      <c r="AQ59" s="4">
        <f>ROUND(AM59/30,0)</f>
        <v/>
      </c>
      <c r="AR59" s="4" t="n"/>
      <c r="AS59" s="4" t="n"/>
      <c r="AT59" s="4">
        <f>AR59*(W59+7+30)</f>
        <v/>
      </c>
      <c r="AU59" s="4" t="n"/>
      <c r="AV59" s="4">
        <f>MAX(0,AT59-AD59-AC59)</f>
        <v/>
      </c>
      <c r="AW59" s="4" t="n"/>
      <c r="AX59" s="14">
        <f>TODAY()</f>
        <v/>
      </c>
      <c r="AY59" s="4" t="n"/>
      <c r="AZ59" s="4" t="n"/>
      <c r="BA59" s="16" t="n"/>
      <c r="BB59" s="16" t="n"/>
      <c r="BC59" s="16" t="n"/>
    </row>
    <row r="60" ht="14.25" customHeight="1" s="31">
      <c r="A60" s="4" t="n"/>
      <c r="B60" s="19" t="n"/>
      <c r="C60" s="4" t="n"/>
      <c r="D60" s="19" t="n"/>
      <c r="E60" s="19" t="n"/>
      <c r="F60" s="19" t="n"/>
      <c r="G60" s="34" t="n"/>
      <c r="H60" s="34" t="n"/>
      <c r="I60" s="34" t="n"/>
      <c r="J60" s="19" t="n"/>
      <c r="K60" s="19" t="n"/>
      <c r="L60" s="19" t="n"/>
      <c r="M60" s="19" t="n"/>
      <c r="N60" s="19" t="n"/>
      <c r="O60" s="19" t="n"/>
      <c r="P60" s="19" t="n"/>
      <c r="Q60" s="19">
        <f>ROUND((L60*M60*N60)/1000000,3)</f>
        <v/>
      </c>
      <c r="R60" s="19" t="n"/>
      <c r="S60" s="19" t="n"/>
      <c r="T60" s="4" t="n"/>
      <c r="U60" s="4" t="n"/>
      <c r="V60" s="19" t="n"/>
      <c r="W60" s="19" t="n"/>
      <c r="X60" s="4">
        <f>AR60*(W60+35+10)</f>
        <v/>
      </c>
      <c r="Y60" s="4">
        <f>AR60*(W60+35+10+45)</f>
        <v/>
      </c>
      <c r="Z60" s="4">
        <f>AA60+AB60+AC60</f>
        <v/>
      </c>
      <c r="AA60" s="4" t="n"/>
      <c r="AB60" s="4" t="n"/>
      <c r="AC60" s="4" t="n"/>
      <c r="AD60" s="4">
        <f>AA60+AB60</f>
        <v/>
      </c>
      <c r="AE60" s="13">
        <f>IF(AD60&lt;=AT60,"库存不足",IF(AD60&gt;=AT60*1.5,"库存预警","库存正常"))</f>
        <v/>
      </c>
      <c r="AF60" s="4">
        <f>MAX(AT60-AA60-AB60,0)</f>
        <v/>
      </c>
      <c r="AG60" s="4">
        <f>MAX(X60-AD60,0)</f>
        <v/>
      </c>
      <c r="AH60" s="4">
        <f>AF60-AG60</f>
        <v/>
      </c>
      <c r="AI60" s="14">
        <f>AX60+(AA60+AB60)/AR60-60</f>
        <v/>
      </c>
      <c r="AJ60" s="4" t="n"/>
      <c r="AK60" s="4" t="n"/>
      <c r="AL60" s="4" t="n"/>
      <c r="AM60" s="4" t="n"/>
      <c r="AN60" s="15" t="n"/>
      <c r="AO60" s="4">
        <f>ROUND(AK60/7,0)</f>
        <v/>
      </c>
      <c r="AP60" s="4">
        <f>ROUND(AL60/15,0)</f>
        <v/>
      </c>
      <c r="AQ60" s="4">
        <f>ROUND(AM60/30,0)</f>
        <v/>
      </c>
      <c r="AR60" s="4" t="n"/>
      <c r="AS60" s="4" t="n"/>
      <c r="AT60" s="4">
        <f>AR60*(W60+7+30)</f>
        <v/>
      </c>
      <c r="AU60" s="4" t="n"/>
      <c r="AV60" s="4">
        <f>MAX(0,AT60-AD60-AC60)</f>
        <v/>
      </c>
      <c r="AW60" s="4" t="n"/>
      <c r="AX60" s="14">
        <f>TODAY()</f>
        <v/>
      </c>
      <c r="AY60" s="4" t="n"/>
      <c r="AZ60" s="4" t="n"/>
      <c r="BA60" s="16" t="n"/>
      <c r="BB60" s="16" t="n"/>
      <c r="BC60" s="16" t="n"/>
    </row>
    <row r="61" ht="14.25" customHeight="1" s="31">
      <c r="A61" s="4" t="n"/>
      <c r="B61" s="19" t="n"/>
      <c r="C61" s="4" t="n"/>
      <c r="D61" s="19" t="n"/>
      <c r="E61" s="19" t="n"/>
      <c r="F61" s="19" t="n"/>
      <c r="G61" s="34" t="n"/>
      <c r="H61" s="34" t="n"/>
      <c r="I61" s="34" t="n"/>
      <c r="J61" s="19" t="n"/>
      <c r="K61" s="19" t="n"/>
      <c r="L61" s="19" t="n"/>
      <c r="M61" s="19" t="n"/>
      <c r="N61" s="19" t="n"/>
      <c r="O61" s="19" t="n"/>
      <c r="P61" s="19" t="n"/>
      <c r="Q61" s="19">
        <f>ROUND((L61*M61*N61)/1000000,3)</f>
        <v/>
      </c>
      <c r="R61" s="19" t="n"/>
      <c r="S61" s="19" t="n"/>
      <c r="T61" s="4" t="n"/>
      <c r="U61" s="4" t="n"/>
      <c r="V61" s="19" t="n"/>
      <c r="W61" s="19" t="n"/>
      <c r="X61" s="4">
        <f>AR61*(W61+35+10)</f>
        <v/>
      </c>
      <c r="Y61" s="4">
        <f>AR61*(W61+35+10+45)</f>
        <v/>
      </c>
      <c r="Z61" s="4">
        <f>AA61+AB61+AC61</f>
        <v/>
      </c>
      <c r="AA61" s="4" t="n"/>
      <c r="AB61" s="4" t="n"/>
      <c r="AC61" s="4" t="n"/>
      <c r="AD61" s="4">
        <f>AA61+AB61</f>
        <v/>
      </c>
      <c r="AE61" s="13">
        <f>IF(AD61&lt;=AT61,"库存不足",IF(AD61&gt;=AT61*1.5,"库存预警","库存正常"))</f>
        <v/>
      </c>
      <c r="AF61" s="4">
        <f>MAX(AT61-AA61-AB61,0)</f>
        <v/>
      </c>
      <c r="AG61" s="4">
        <f>MAX(X61-AD61,0)</f>
        <v/>
      </c>
      <c r="AH61" s="4">
        <f>AF61-AG61</f>
        <v/>
      </c>
      <c r="AI61" s="14">
        <f>AX61+(AA61+AB61)/AR61-60</f>
        <v/>
      </c>
      <c r="AJ61" s="4" t="n"/>
      <c r="AK61" s="4" t="n"/>
      <c r="AL61" s="4" t="n"/>
      <c r="AM61" s="4" t="n"/>
      <c r="AN61" s="15" t="n"/>
      <c r="AO61" s="4">
        <f>ROUND(AK61/7,0)</f>
        <v/>
      </c>
      <c r="AP61" s="4">
        <f>ROUND(AL61/15,0)</f>
        <v/>
      </c>
      <c r="AQ61" s="4">
        <f>ROUND(AM61/30,0)</f>
        <v/>
      </c>
      <c r="AR61" s="4" t="n"/>
      <c r="AS61" s="4" t="n"/>
      <c r="AT61" s="4">
        <f>AR61*(W61+7+30)</f>
        <v/>
      </c>
      <c r="AU61" s="4" t="n"/>
      <c r="AV61" s="4">
        <f>MAX(0,AT61-AD61-AC61)</f>
        <v/>
      </c>
      <c r="AW61" s="4" t="n"/>
      <c r="AX61" s="14">
        <f>TODAY()</f>
        <v/>
      </c>
      <c r="AY61" s="4" t="n"/>
      <c r="AZ61" s="4" t="n"/>
      <c r="BA61" s="16" t="n"/>
      <c r="BB61" s="16" t="n"/>
      <c r="BC61" s="16" t="n"/>
    </row>
    <row r="62" ht="14.25" customHeight="1" s="31">
      <c r="A62" s="4" t="n"/>
      <c r="B62" s="19" t="n"/>
      <c r="C62" s="4" t="n"/>
      <c r="D62" s="19" t="n"/>
      <c r="E62" s="19" t="n"/>
      <c r="F62" s="19" t="n"/>
      <c r="G62" s="34" t="n"/>
      <c r="H62" s="34" t="n"/>
      <c r="I62" s="34" t="n"/>
      <c r="J62" s="19" t="n"/>
      <c r="K62" s="19" t="n"/>
      <c r="L62" s="19" t="n"/>
      <c r="M62" s="19" t="n"/>
      <c r="N62" s="19" t="n"/>
      <c r="O62" s="19" t="n"/>
      <c r="P62" s="19" t="n"/>
      <c r="Q62" s="19">
        <f>ROUND((L62*M62*N62)/1000000,3)</f>
        <v/>
      </c>
      <c r="R62" s="19" t="n"/>
      <c r="S62" s="19" t="n"/>
      <c r="T62" s="4" t="n"/>
      <c r="U62" s="4" t="n"/>
      <c r="V62" s="19" t="n"/>
      <c r="W62" s="19" t="n"/>
      <c r="X62" s="4">
        <f>AR62*(W62+35+10)</f>
        <v/>
      </c>
      <c r="Y62" s="4">
        <f>AR62*(W62+35+10+45)</f>
        <v/>
      </c>
      <c r="Z62" s="4">
        <f>AA62+AB62+AC62</f>
        <v/>
      </c>
      <c r="AA62" s="4" t="n"/>
      <c r="AB62" s="4" t="n"/>
      <c r="AC62" s="4" t="n"/>
      <c r="AD62" s="4">
        <f>AA62+AB62</f>
        <v/>
      </c>
      <c r="AE62" s="13">
        <f>IF(AD62&lt;=AT62,"库存不足",IF(AD62&gt;=AT62*1.5,"库存预警","库存正常"))</f>
        <v/>
      </c>
      <c r="AF62" s="4">
        <f>MAX(AT62-AA62-AB62,0)</f>
        <v/>
      </c>
      <c r="AG62" s="4">
        <f>MAX(X62-AD62,0)</f>
        <v/>
      </c>
      <c r="AH62" s="4">
        <f>AF62-AG62</f>
        <v/>
      </c>
      <c r="AI62" s="14">
        <f>AX62+(AA62+AB62)/AR62-60</f>
        <v/>
      </c>
      <c r="AJ62" s="4" t="n"/>
      <c r="AK62" s="4" t="n"/>
      <c r="AL62" s="4" t="n"/>
      <c r="AM62" s="4" t="n"/>
      <c r="AN62" s="15" t="n"/>
      <c r="AO62" s="4">
        <f>ROUND(AK62/7,0)</f>
        <v/>
      </c>
      <c r="AP62" s="4">
        <f>ROUND(AL62/15,0)</f>
        <v/>
      </c>
      <c r="AQ62" s="4">
        <f>ROUND(AM62/30,0)</f>
        <v/>
      </c>
      <c r="AR62" s="4" t="n"/>
      <c r="AS62" s="4" t="n"/>
      <c r="AT62" s="4">
        <f>AR62*(W62+7+30)</f>
        <v/>
      </c>
      <c r="AU62" s="4" t="n"/>
      <c r="AV62" s="4">
        <f>MAX(0,AT62-AD62-AC62)</f>
        <v/>
      </c>
      <c r="AW62" s="4" t="n"/>
      <c r="AX62" s="14">
        <f>TODAY()</f>
        <v/>
      </c>
      <c r="AY62" s="4" t="n"/>
      <c r="AZ62" s="4" t="n"/>
      <c r="BA62" s="16" t="n"/>
      <c r="BB62" s="16" t="n"/>
      <c r="BC62" s="16" t="n"/>
    </row>
    <row r="63" ht="14.25" customHeight="1" s="31">
      <c r="A63" s="4" t="n"/>
      <c r="B63" s="19" t="n"/>
      <c r="C63" s="4" t="n"/>
      <c r="D63" s="19" t="n"/>
      <c r="E63" s="19" t="n"/>
      <c r="F63" s="19" t="n"/>
      <c r="G63" s="34" t="n"/>
      <c r="H63" s="34" t="n"/>
      <c r="I63" s="34" t="n"/>
      <c r="J63" s="19" t="n"/>
      <c r="K63" s="19" t="n"/>
      <c r="L63" s="19" t="n"/>
      <c r="M63" s="19" t="n"/>
      <c r="N63" s="19" t="n"/>
      <c r="O63" s="19" t="n"/>
      <c r="P63" s="19" t="n"/>
      <c r="Q63" s="19">
        <f>ROUND((L63*M63*N63)/1000000,3)</f>
        <v/>
      </c>
      <c r="R63" s="19" t="n"/>
      <c r="S63" s="19" t="n"/>
      <c r="T63" s="4" t="n"/>
      <c r="U63" s="4" t="n"/>
      <c r="V63" s="19" t="n"/>
      <c r="W63" s="19" t="n"/>
      <c r="X63" s="4">
        <f>AR63*(W63+35+10)</f>
        <v/>
      </c>
      <c r="Y63" s="4">
        <f>AR63*(W63+35+10+45)</f>
        <v/>
      </c>
      <c r="Z63" s="4">
        <f>AA63+AB63+AC63</f>
        <v/>
      </c>
      <c r="AA63" s="4" t="n"/>
      <c r="AB63" s="4" t="n"/>
      <c r="AC63" s="4" t="n"/>
      <c r="AD63" s="4">
        <f>AA63+AB63</f>
        <v/>
      </c>
      <c r="AE63" s="13">
        <f>IF(AD63&lt;=AT63,"库存不足",IF(AD63&gt;=AT63*1.5,"库存预警","库存正常"))</f>
        <v/>
      </c>
      <c r="AF63" s="4">
        <f>MAX(AT63-AA63-AB63,0)</f>
        <v/>
      </c>
      <c r="AG63" s="4">
        <f>MAX(X63-AD63,0)</f>
        <v/>
      </c>
      <c r="AH63" s="4">
        <f>AF63-AG63</f>
        <v/>
      </c>
      <c r="AI63" s="14">
        <f>AX63+(AA63+AB63)/AR63-60</f>
        <v/>
      </c>
      <c r="AJ63" s="4" t="n"/>
      <c r="AK63" s="4" t="n"/>
      <c r="AL63" s="4" t="n"/>
      <c r="AM63" s="4" t="n"/>
      <c r="AN63" s="15" t="n"/>
      <c r="AO63" s="4">
        <f>ROUND(AK63/7,0)</f>
        <v/>
      </c>
      <c r="AP63" s="4">
        <f>ROUND(AL63/15,0)</f>
        <v/>
      </c>
      <c r="AQ63" s="4">
        <f>ROUND(AM63/30,0)</f>
        <v/>
      </c>
      <c r="AR63" s="4" t="n"/>
      <c r="AS63" s="4" t="n"/>
      <c r="AT63" s="4">
        <f>AR63*(W63+7+30)</f>
        <v/>
      </c>
      <c r="AU63" s="4" t="n"/>
      <c r="AV63" s="4">
        <f>MAX(0,AT63-AD63-AC63)</f>
        <v/>
      </c>
      <c r="AW63" s="4" t="n"/>
      <c r="AX63" s="14">
        <f>TODAY()</f>
        <v/>
      </c>
      <c r="AY63" s="4" t="n"/>
      <c r="AZ63" s="4" t="n"/>
      <c r="BA63" s="16" t="n"/>
      <c r="BB63" s="16" t="n"/>
      <c r="BC63" s="16" t="n"/>
    </row>
    <row r="64" ht="14.25" customHeight="1" s="31">
      <c r="A64" s="4" t="n"/>
      <c r="B64" s="19" t="n"/>
      <c r="C64" s="4" t="n"/>
      <c r="D64" s="19" t="n"/>
      <c r="E64" s="19" t="n"/>
      <c r="F64" s="19" t="n"/>
      <c r="G64" s="34" t="n"/>
      <c r="H64" s="34" t="n"/>
      <c r="I64" s="34" t="n"/>
      <c r="J64" s="19">
        <f>K64*1000</f>
        <v/>
      </c>
      <c r="K64" s="19" t="n"/>
      <c r="L64" s="19" t="n"/>
      <c r="M64" s="19" t="n"/>
      <c r="N64" s="19" t="n"/>
      <c r="O64" s="19" t="n"/>
      <c r="P64" s="19" t="n"/>
      <c r="Q64" s="19">
        <f>ROUND((L64*M64*N64)/1000000,3)</f>
        <v/>
      </c>
      <c r="R64" s="19" t="n"/>
      <c r="S64" s="19" t="n"/>
      <c r="T64" s="4" t="n"/>
      <c r="U64" s="4" t="n"/>
      <c r="V64" s="19" t="n"/>
      <c r="W64" s="19" t="n"/>
      <c r="X64" s="4">
        <f>AR64*(W64+35+10)</f>
        <v/>
      </c>
      <c r="Y64" s="4">
        <f>AR64*(W64+35+10+45)</f>
        <v/>
      </c>
      <c r="Z64" s="4">
        <f>AA64+AB64+AC64</f>
        <v/>
      </c>
      <c r="AA64" s="4" t="n"/>
      <c r="AB64" s="4" t="n"/>
      <c r="AC64" s="4" t="n"/>
      <c r="AD64" s="4">
        <f>AA64+AB64</f>
        <v/>
      </c>
      <c r="AE64" s="13">
        <f>IF(AD64&lt;=AT64,"库存不足",IF(AD64&gt;=AT64*1.5,"库存预警","库存正常"))</f>
        <v/>
      </c>
      <c r="AF64" s="4">
        <f>MAX(AT64-AA64-AB64,0)</f>
        <v/>
      </c>
      <c r="AG64" s="4">
        <f>MAX(X64-AD64,0)</f>
        <v/>
      </c>
      <c r="AH64" s="4">
        <f>AF64-AG64</f>
        <v/>
      </c>
      <c r="AI64" s="14">
        <f>AX64+(AA64+AB64)/AR64-60</f>
        <v/>
      </c>
      <c r="AJ64" s="4" t="n"/>
      <c r="AK64" s="4" t="n"/>
      <c r="AL64" s="4" t="n"/>
      <c r="AM64" s="4" t="n"/>
      <c r="AN64" s="15" t="n"/>
      <c r="AO64" s="4">
        <f>ROUND(AK64/7,0)</f>
        <v/>
      </c>
      <c r="AP64" s="4">
        <f>ROUND(AL64/15,0)</f>
        <v/>
      </c>
      <c r="AQ64" s="4">
        <f>ROUND(AM64/30,0)</f>
        <v/>
      </c>
      <c r="AR64" s="4" t="n"/>
      <c r="AS64" s="4" t="n"/>
      <c r="AT64" s="4">
        <f>AR64*(W64+7+30)</f>
        <v/>
      </c>
      <c r="AU64" s="4" t="n"/>
      <c r="AV64" s="4">
        <f>MAX(0,AT64-AD64-AC64)</f>
        <v/>
      </c>
      <c r="AW64" s="4" t="n"/>
      <c r="AX64" s="14">
        <f>TODAY()</f>
        <v/>
      </c>
      <c r="AY64" s="4" t="n"/>
      <c r="AZ64" s="4" t="n"/>
      <c r="BA64" s="16" t="n"/>
      <c r="BB64" s="16" t="n"/>
      <c r="BC64" s="16" t="n"/>
    </row>
    <row r="65" ht="14.25" customHeight="1" s="31">
      <c r="A65" s="4" t="n"/>
      <c r="B65" s="19" t="n"/>
      <c r="C65" s="4" t="n"/>
      <c r="D65" s="19" t="n"/>
      <c r="E65" s="19" t="n"/>
      <c r="F65" s="19" t="n"/>
      <c r="G65" s="34" t="n"/>
      <c r="H65" s="34" t="n"/>
      <c r="I65" s="34" t="n"/>
      <c r="J65" s="19" t="n"/>
      <c r="K65" s="19" t="n"/>
      <c r="L65" s="19" t="n"/>
      <c r="M65" s="19" t="n"/>
      <c r="N65" s="19" t="n"/>
      <c r="O65" s="19" t="n"/>
      <c r="P65" s="19" t="n"/>
      <c r="Q65" s="19">
        <f>ROUND((L65*M65*N65)/1000000,3)</f>
        <v/>
      </c>
      <c r="R65" s="19" t="n"/>
      <c r="S65" s="19" t="n"/>
      <c r="T65" s="4" t="n"/>
      <c r="U65" s="4" t="n"/>
      <c r="V65" s="19" t="n"/>
      <c r="W65" s="19" t="n"/>
      <c r="X65" s="4">
        <f>AR65*(W65+35+10)</f>
        <v/>
      </c>
      <c r="Y65" s="4">
        <f>AR65*(W65+35+10+45)</f>
        <v/>
      </c>
      <c r="Z65" s="4">
        <f>AA65+AB65+AC65</f>
        <v/>
      </c>
      <c r="AA65" s="4" t="n"/>
      <c r="AB65" s="4" t="n"/>
      <c r="AC65" s="4" t="n"/>
      <c r="AD65" s="4">
        <f>AA65+AB65</f>
        <v/>
      </c>
      <c r="AE65" s="13">
        <f>IF(AD65&lt;=AT65,"库存不足",IF(AD65&gt;=AT65*1.5,"库存预警","库存正常"))</f>
        <v/>
      </c>
      <c r="AF65" s="4">
        <f>MAX(AT65-AA65-AB65,0)</f>
        <v/>
      </c>
      <c r="AG65" s="4">
        <f>MAX(X65-AD65,0)</f>
        <v/>
      </c>
      <c r="AH65" s="4">
        <f>AF65-AG65</f>
        <v/>
      </c>
      <c r="AI65" s="14">
        <f>AX65+(AA65+AB65)/AR65-60</f>
        <v/>
      </c>
      <c r="AJ65" s="4" t="n"/>
      <c r="AK65" s="4" t="n"/>
      <c r="AL65" s="4" t="n"/>
      <c r="AM65" s="4" t="n"/>
      <c r="AN65" s="15" t="n"/>
      <c r="AO65" s="4">
        <f>ROUND(AK65/7,0)</f>
        <v/>
      </c>
      <c r="AP65" s="4">
        <f>ROUND(AL65/15,0)</f>
        <v/>
      </c>
      <c r="AQ65" s="4">
        <f>ROUND(AM65/30,0)</f>
        <v/>
      </c>
      <c r="AR65" s="4" t="n"/>
      <c r="AS65" s="4" t="n"/>
      <c r="AT65" s="4">
        <f>AR65*(W65+7+30)</f>
        <v/>
      </c>
      <c r="AU65" s="4" t="n"/>
      <c r="AV65" s="4">
        <f>MAX(0,AT65-AD65-AC65)</f>
        <v/>
      </c>
      <c r="AW65" s="4" t="n"/>
      <c r="AX65" s="14">
        <f>TODAY()</f>
        <v/>
      </c>
      <c r="AY65" s="4" t="n"/>
      <c r="AZ65" s="4" t="n"/>
      <c r="BA65" s="16" t="n"/>
      <c r="BB65" s="16" t="n"/>
      <c r="BC65" s="16" t="n"/>
    </row>
    <row r="66" ht="14.25" customHeight="1" s="31">
      <c r="A66" s="4" t="n"/>
      <c r="B66" s="19" t="n"/>
      <c r="C66" s="4" t="n"/>
      <c r="D66" s="19" t="n"/>
      <c r="E66" s="19" t="n"/>
      <c r="F66" s="19" t="n"/>
      <c r="G66" s="34" t="n"/>
      <c r="H66" s="34" t="n"/>
      <c r="I66" s="34" t="n"/>
      <c r="J66" s="19" t="n"/>
      <c r="K66" s="19" t="n"/>
      <c r="L66" s="19" t="n"/>
      <c r="M66" s="19" t="n"/>
      <c r="N66" s="19" t="n"/>
      <c r="O66" s="19" t="n"/>
      <c r="P66" s="19" t="n"/>
      <c r="Q66" s="19">
        <f>ROUND((L66*M66*N66)/1000000,3)</f>
        <v/>
      </c>
      <c r="R66" s="19" t="n"/>
      <c r="S66" s="19" t="n"/>
      <c r="T66" s="4" t="n"/>
      <c r="U66" s="4" t="n"/>
      <c r="V66" s="19" t="n"/>
      <c r="W66" s="19" t="n"/>
      <c r="X66" s="4">
        <f>AR66*(W66+35+10)</f>
        <v/>
      </c>
      <c r="Y66" s="4">
        <f>AR66*(W66+35+10+45)</f>
        <v/>
      </c>
      <c r="Z66" s="4">
        <f>AA66+AB66+AC66</f>
        <v/>
      </c>
      <c r="AA66" s="4" t="n"/>
      <c r="AB66" s="4" t="n"/>
      <c r="AC66" s="4" t="n"/>
      <c r="AD66" s="4">
        <f>AA66+AB66</f>
        <v/>
      </c>
      <c r="AE66" s="13">
        <f>IF(AD66&lt;=AT66,"库存不足",IF(AD66&gt;=AT66*1.5,"库存预警","库存正常"))</f>
        <v/>
      </c>
      <c r="AF66" s="4">
        <f>MAX(AT66-AA66-AB66,0)</f>
        <v/>
      </c>
      <c r="AG66" s="4">
        <f>MAX(X66-AD66,0)</f>
        <v/>
      </c>
      <c r="AH66" s="4">
        <f>AF66-AG66</f>
        <v/>
      </c>
      <c r="AI66" s="14">
        <f>AX66+(AA66+AB66)/AR66-60</f>
        <v/>
      </c>
      <c r="AJ66" s="4" t="n"/>
      <c r="AK66" s="4" t="n"/>
      <c r="AL66" s="4" t="n"/>
      <c r="AM66" s="4" t="n"/>
      <c r="AN66" s="4">
        <f>ROUND(AJ66/3,0)</f>
        <v/>
      </c>
      <c r="AO66" s="4">
        <f>ROUND(AK66/7,0)</f>
        <v/>
      </c>
      <c r="AP66" s="4">
        <f>ROUND(AL66/15,0)</f>
        <v/>
      </c>
      <c r="AQ66" s="4">
        <f>ROUND(AM66/30,0)</f>
        <v/>
      </c>
      <c r="AR66" s="4" t="n"/>
      <c r="AS66" s="4" t="n"/>
      <c r="AT66" s="4">
        <f>AR66*(W66+7+30)</f>
        <v/>
      </c>
      <c r="AU66" s="4" t="n"/>
      <c r="AV66" s="4">
        <f>MAX(0,AT66-AD66-AC66)</f>
        <v/>
      </c>
      <c r="AW66" s="4" t="n"/>
      <c r="AX66" s="14">
        <f>TODAY()</f>
        <v/>
      </c>
      <c r="AY66" s="4" t="n"/>
      <c r="AZ66" s="4" t="n"/>
      <c r="BA66" s="16" t="n"/>
      <c r="BB66" s="16" t="n"/>
      <c r="BC66" s="16" t="n"/>
    </row>
    <row r="67" ht="14.25" customHeight="1" s="31">
      <c r="A67" s="4" t="n"/>
      <c r="B67" s="19" t="n"/>
      <c r="C67" s="4" t="n"/>
      <c r="D67" s="19" t="n"/>
      <c r="E67" s="19" t="n"/>
      <c r="F67" s="19" t="n"/>
      <c r="G67" s="34" t="n"/>
      <c r="H67" s="34" t="n"/>
      <c r="I67" s="34" t="n"/>
      <c r="J67" s="19" t="n"/>
      <c r="K67" s="19" t="n"/>
      <c r="L67" s="19" t="n"/>
      <c r="M67" s="19" t="n"/>
      <c r="N67" s="19" t="n"/>
      <c r="O67" s="19" t="n"/>
      <c r="P67" s="19" t="n"/>
      <c r="Q67" s="19">
        <f>ROUND((L67*M67*N67)/1000000,3)</f>
        <v/>
      </c>
      <c r="R67" s="19" t="n"/>
      <c r="S67" s="19" t="n"/>
      <c r="T67" s="4" t="n"/>
      <c r="U67" s="4" t="n"/>
      <c r="V67" s="19" t="n"/>
      <c r="W67" s="19" t="n"/>
      <c r="X67" s="4">
        <f>AR67*(W67+35+10)</f>
        <v/>
      </c>
      <c r="Y67" s="4">
        <f>AR67*(W67+35+10+45)</f>
        <v/>
      </c>
      <c r="Z67" s="4">
        <f>AA67+AB67+AC67</f>
        <v/>
      </c>
      <c r="AA67" s="4" t="n"/>
      <c r="AB67" s="4" t="n"/>
      <c r="AC67" s="4" t="n"/>
      <c r="AD67" s="4">
        <f>AA67+AB67</f>
        <v/>
      </c>
      <c r="AE67" s="13">
        <f>IF(AD67&lt;=AT67,"库存不足",IF(AD67&gt;=AT67*1.5,"库存预警","库存正常"))</f>
        <v/>
      </c>
      <c r="AF67" s="4">
        <f>MAX(AT67-AA67-AB67,0)</f>
        <v/>
      </c>
      <c r="AG67" s="4">
        <f>MAX(X67-AD67,0)</f>
        <v/>
      </c>
      <c r="AH67" s="4">
        <f>AF67-AG67</f>
        <v/>
      </c>
      <c r="AI67" s="14">
        <f>AX67+(AA67+AB67)/AR67-60</f>
        <v/>
      </c>
      <c r="AJ67" s="4" t="n"/>
      <c r="AK67" s="4" t="n"/>
      <c r="AL67" s="4" t="n"/>
      <c r="AM67" s="4" t="n"/>
      <c r="AN67" s="4">
        <f>ROUND(AJ67/3,0)</f>
        <v/>
      </c>
      <c r="AO67" s="4">
        <f>ROUND(AK67/7,0)</f>
        <v/>
      </c>
      <c r="AP67" s="4">
        <f>ROUND(AL67/15,0)</f>
        <v/>
      </c>
      <c r="AQ67" s="4">
        <f>ROUND(AM67/30,0)</f>
        <v/>
      </c>
      <c r="AR67" s="4" t="n"/>
      <c r="AS67" s="4" t="n"/>
      <c r="AT67" s="4">
        <f>AR67*(W67+7+30)</f>
        <v/>
      </c>
      <c r="AU67" s="4" t="n"/>
      <c r="AV67" s="4">
        <f>MAX(0,AT67-AD67-AC67)</f>
        <v/>
      </c>
      <c r="AW67" s="4" t="n"/>
      <c r="AX67" s="14">
        <f>TODAY()</f>
        <v/>
      </c>
      <c r="AY67" s="4" t="n"/>
      <c r="AZ67" s="4" t="n"/>
      <c r="BA67" s="16" t="n"/>
      <c r="BB67" s="16" t="n"/>
      <c r="BC67" s="16" t="n"/>
    </row>
    <row r="68" ht="14.25" customHeight="1" s="31">
      <c r="A68" s="4" t="n"/>
      <c r="B68" s="19" t="n"/>
      <c r="C68" s="4" t="n"/>
      <c r="D68" s="19" t="n"/>
      <c r="E68" s="19" t="n"/>
      <c r="F68" s="19" t="n"/>
      <c r="G68" s="34" t="n"/>
      <c r="H68" s="34" t="n"/>
      <c r="I68" s="34" t="n"/>
      <c r="J68" s="19">
        <f>K68*1000</f>
        <v/>
      </c>
      <c r="K68" s="19" t="n"/>
      <c r="L68" s="19" t="n"/>
      <c r="M68" s="19" t="n"/>
      <c r="N68" s="19" t="n"/>
      <c r="O68" s="19" t="n"/>
      <c r="P68" s="19" t="n"/>
      <c r="Q68" s="19">
        <f>ROUND((L68*M68*N68)/1000000,3)</f>
        <v/>
      </c>
      <c r="R68" s="19" t="n"/>
      <c r="S68" s="19" t="n"/>
      <c r="T68" s="4" t="n"/>
      <c r="U68" s="4" t="n"/>
      <c r="V68" s="19" t="n"/>
      <c r="W68" s="19" t="n"/>
      <c r="X68" s="4">
        <f>AR68*(W68+35+10)</f>
        <v/>
      </c>
      <c r="Y68" s="4">
        <f>AR68*(W68+35+10+45)</f>
        <v/>
      </c>
      <c r="Z68" s="4">
        <f>AA68+AB68+AC68</f>
        <v/>
      </c>
      <c r="AA68" s="4" t="n"/>
      <c r="AB68" s="4" t="n"/>
      <c r="AC68" s="4" t="n"/>
      <c r="AD68" s="4">
        <f>AA68+AB68</f>
        <v/>
      </c>
      <c r="AE68" s="13">
        <f>IF(AD68&lt;=AT68,"库存不足",IF(AD68&gt;=AT68*1.5,"库存预警","库存正常"))</f>
        <v/>
      </c>
      <c r="AF68" s="4">
        <f>MAX(AT68-AA68-AB68,0)</f>
        <v/>
      </c>
      <c r="AG68" s="4">
        <f>MAX(X68-AD68,0)</f>
        <v/>
      </c>
      <c r="AH68" s="4">
        <f>AF68-AG68</f>
        <v/>
      </c>
      <c r="AI68" s="14">
        <f>AX68+(AA68+AB68)/AR68-60</f>
        <v/>
      </c>
      <c r="AJ68" s="4" t="n"/>
      <c r="AK68" s="15" t="n"/>
      <c r="AL68" s="15" t="n"/>
      <c r="AM68" s="15" t="n"/>
      <c r="AN68" s="15" t="n"/>
      <c r="AO68" s="4">
        <f>ROUND(AK68/7,0)</f>
        <v/>
      </c>
      <c r="AP68" s="4">
        <f>ROUND(AL68/15,0)</f>
        <v/>
      </c>
      <c r="AQ68" s="4">
        <f>ROUND(AM68/30,0)</f>
        <v/>
      </c>
      <c r="AR68" s="4" t="n"/>
      <c r="AS68" s="4" t="n"/>
      <c r="AT68" s="4">
        <f>AR68*(W68+7+30)</f>
        <v/>
      </c>
      <c r="AU68" s="4" t="n"/>
      <c r="AV68" s="4">
        <f>MAX(0,AT68-AD68-AC68)</f>
        <v/>
      </c>
      <c r="AW68" s="4" t="n"/>
      <c r="AX68" s="14">
        <f>TODAY()</f>
        <v/>
      </c>
      <c r="AY68" s="4" t="n"/>
      <c r="AZ68" s="4" t="n"/>
      <c r="BA68" s="16" t="n"/>
      <c r="BB68" s="16" t="n"/>
      <c r="BC68" s="16" t="n"/>
    </row>
    <row r="69" ht="14.25" customHeight="1" s="31">
      <c r="A69" s="4" t="n"/>
      <c r="B69" s="19" t="n"/>
      <c r="C69" s="4" t="n"/>
      <c r="D69" s="19" t="n"/>
      <c r="E69" s="19" t="n"/>
      <c r="F69" s="19" t="n"/>
      <c r="G69" s="34" t="n"/>
      <c r="H69" s="34" t="n"/>
      <c r="I69" s="34" t="n"/>
      <c r="J69" s="19">
        <f>K69*1000</f>
        <v/>
      </c>
      <c r="K69" s="19" t="n"/>
      <c r="L69" s="19" t="n"/>
      <c r="M69" s="19" t="n"/>
      <c r="N69" s="19" t="n"/>
      <c r="O69" s="19" t="n"/>
      <c r="P69" s="19" t="n"/>
      <c r="Q69" s="19">
        <f>ROUND((L69*M69*N69)/1000000,3)</f>
        <v/>
      </c>
      <c r="R69" s="19" t="n"/>
      <c r="S69" s="19" t="n"/>
      <c r="T69" s="4" t="n"/>
      <c r="U69" s="4" t="n"/>
      <c r="V69" s="19" t="n"/>
      <c r="W69" s="19" t="n"/>
      <c r="X69" s="4">
        <f>AR69*(W69+35+10)</f>
        <v/>
      </c>
      <c r="Y69" s="4">
        <f>AR69*(W69+35+10+45)</f>
        <v/>
      </c>
      <c r="Z69" s="4">
        <f>AA69+AB69+AC69</f>
        <v/>
      </c>
      <c r="AA69" s="4" t="n"/>
      <c r="AB69" s="4" t="n"/>
      <c r="AC69" s="4" t="n"/>
      <c r="AD69" s="4">
        <f>AA69+AB69</f>
        <v/>
      </c>
      <c r="AE69" s="13">
        <f>IF(AD69&lt;=AT69,"库存不足",IF(AD69&gt;=AT69*1.5,"库存预警","库存正常"))</f>
        <v/>
      </c>
      <c r="AF69" s="4">
        <f>MAX(AT69-AA69-AB69,0)</f>
        <v/>
      </c>
      <c r="AG69" s="4">
        <f>MAX(X69-AD69,0)</f>
        <v/>
      </c>
      <c r="AH69" s="4">
        <f>AF69-AG69</f>
        <v/>
      </c>
      <c r="AI69" s="14">
        <f>AX69+(AA69+AB69)/AR69-60</f>
        <v/>
      </c>
      <c r="AJ69" s="4" t="n"/>
      <c r="AK69" s="15" t="n"/>
      <c r="AL69" s="15" t="n"/>
      <c r="AM69" s="15" t="n"/>
      <c r="AN69" s="15" t="n"/>
      <c r="AO69" s="4">
        <f>ROUND(AK69/7,0)</f>
        <v/>
      </c>
      <c r="AP69" s="4">
        <f>ROUND(AL69/15,0)</f>
        <v/>
      </c>
      <c r="AQ69" s="4">
        <f>ROUND(AM69/30,0)</f>
        <v/>
      </c>
      <c r="AR69" s="4" t="n"/>
      <c r="AS69" s="4" t="n"/>
      <c r="AT69" s="4">
        <f>AR69*(W69+7+30)</f>
        <v/>
      </c>
      <c r="AU69" s="4" t="n"/>
      <c r="AV69" s="4">
        <f>MAX(0,AT69-AD69-AC69)</f>
        <v/>
      </c>
      <c r="AW69" s="4" t="n"/>
      <c r="AX69" s="14">
        <f>TODAY()</f>
        <v/>
      </c>
      <c r="AY69" s="4" t="n"/>
      <c r="AZ69" s="4" t="n"/>
      <c r="BA69" s="16" t="n"/>
      <c r="BB69" s="16" t="n"/>
      <c r="BC69" s="16" t="n"/>
    </row>
    <row r="70" ht="14.25" customHeight="1" s="31">
      <c r="A70" s="4" t="n"/>
      <c r="B70" s="19" t="n"/>
      <c r="C70" s="4" t="n"/>
      <c r="D70" s="19" t="n"/>
      <c r="E70" s="19" t="n"/>
      <c r="F70" s="19" t="n"/>
      <c r="G70" s="34" t="n"/>
      <c r="H70" s="34" t="n"/>
      <c r="I70" s="34" t="n"/>
      <c r="J70" s="19">
        <f>K70*1000</f>
        <v/>
      </c>
      <c r="K70" s="19" t="n"/>
      <c r="L70" s="19" t="n"/>
      <c r="M70" s="19" t="n"/>
      <c r="N70" s="19" t="n"/>
      <c r="O70" s="19" t="n"/>
      <c r="P70" s="19" t="n"/>
      <c r="Q70" s="19">
        <f>ROUND((L70*M70*N70)/1000000,3)</f>
        <v/>
      </c>
      <c r="R70" s="19" t="n"/>
      <c r="S70" s="19" t="n"/>
      <c r="T70" s="4" t="n"/>
      <c r="U70" s="4" t="n"/>
      <c r="V70" s="19" t="n"/>
      <c r="W70" s="19" t="n"/>
      <c r="X70" s="4">
        <f>AR70*(W70+35+10)</f>
        <v/>
      </c>
      <c r="Y70" s="4">
        <f>AR70*(W70+35+10+45)</f>
        <v/>
      </c>
      <c r="Z70" s="4">
        <f>AA70+AB70+AC70</f>
        <v/>
      </c>
      <c r="AA70" s="4" t="n"/>
      <c r="AB70" s="4" t="n"/>
      <c r="AC70" s="4" t="n"/>
      <c r="AD70" s="4">
        <f>AA70+AB70</f>
        <v/>
      </c>
      <c r="AE70" s="13">
        <f>IF(AD70&lt;=AT70,"库存不足",IF(AD70&gt;=AT70*1.5,"库存预警","库存正常"))</f>
        <v/>
      </c>
      <c r="AF70" s="4">
        <f>MAX(AT70-AA70-AB70,0)</f>
        <v/>
      </c>
      <c r="AG70" s="4">
        <f>MAX(X70-AD70,0)</f>
        <v/>
      </c>
      <c r="AH70" s="4">
        <f>AF70-AG70</f>
        <v/>
      </c>
      <c r="AI70" s="14">
        <f>AX70+(AA70+AB70)/AR70-60</f>
        <v/>
      </c>
      <c r="AJ70" s="4" t="n"/>
      <c r="AK70" s="15" t="n"/>
      <c r="AL70" s="15" t="n"/>
      <c r="AM70" s="15" t="n"/>
      <c r="AN70" s="15" t="n"/>
      <c r="AO70" s="4">
        <f>ROUND(AK70/7,0)</f>
        <v/>
      </c>
      <c r="AP70" s="4">
        <f>ROUND(AL70/15,0)</f>
        <v/>
      </c>
      <c r="AQ70" s="4">
        <f>ROUND(AM70/30,0)</f>
        <v/>
      </c>
      <c r="AR70" s="4" t="n"/>
      <c r="AS70" s="4" t="n"/>
      <c r="AT70" s="4">
        <f>AR70*(W70+7+30)</f>
        <v/>
      </c>
      <c r="AU70" s="4" t="n"/>
      <c r="AV70" s="4">
        <f>MAX(0,AT70-AD70-AC70)</f>
        <v/>
      </c>
      <c r="AW70" s="4" t="n"/>
      <c r="AX70" s="14">
        <f>TODAY()</f>
        <v/>
      </c>
      <c r="AY70" s="4" t="n"/>
      <c r="AZ70" s="4" t="n"/>
      <c r="BA70" s="16" t="n"/>
      <c r="BB70" s="16" t="n"/>
      <c r="BC70" s="16" t="n"/>
    </row>
    <row r="71" ht="14.25" customHeight="1" s="31">
      <c r="A71" s="4" t="n"/>
      <c r="B71" s="19" t="n"/>
      <c r="C71" s="4" t="n"/>
      <c r="D71" s="19" t="n"/>
      <c r="E71" s="19" t="n"/>
      <c r="F71" s="19" t="n"/>
      <c r="G71" s="34" t="n"/>
      <c r="H71" s="34" t="n"/>
      <c r="I71" s="34" t="n"/>
      <c r="J71" s="19">
        <f>K71*1000</f>
        <v/>
      </c>
      <c r="K71" s="19" t="n"/>
      <c r="L71" s="19" t="n"/>
      <c r="M71" s="19" t="n"/>
      <c r="N71" s="19" t="n"/>
      <c r="O71" s="19" t="n"/>
      <c r="P71" s="19" t="n"/>
      <c r="Q71" s="19">
        <f>ROUND((L71*M71*N71)/1000000,3)</f>
        <v/>
      </c>
      <c r="R71" s="19" t="n"/>
      <c r="S71" s="19" t="n"/>
      <c r="T71" s="4" t="n"/>
      <c r="U71" s="4" t="n"/>
      <c r="V71" s="19" t="n"/>
      <c r="W71" s="19" t="n"/>
      <c r="X71" s="4">
        <f>AR71*(W71+35+10)</f>
        <v/>
      </c>
      <c r="Y71" s="4">
        <f>AR71*(W71+35+10+45)</f>
        <v/>
      </c>
      <c r="Z71" s="4">
        <f>AA71+AB71+AC71</f>
        <v/>
      </c>
      <c r="AA71" s="4" t="n"/>
      <c r="AB71" s="4" t="n"/>
      <c r="AC71" s="4" t="n"/>
      <c r="AD71" s="4">
        <f>AA71+AB71</f>
        <v/>
      </c>
      <c r="AE71" s="13">
        <f>IF(AD71&lt;=AT71,"库存不足",IF(AD71&gt;=AT71*1.5,"库存预警","库存正常"))</f>
        <v/>
      </c>
      <c r="AF71" s="4">
        <f>MAX(AT71-AA71-AB71,0)</f>
        <v/>
      </c>
      <c r="AG71" s="4">
        <f>MAX(X71-AD71,0)</f>
        <v/>
      </c>
      <c r="AH71" s="4">
        <f>AF71-AG71</f>
        <v/>
      </c>
      <c r="AI71" s="14">
        <f>AX71+(AA71+AB71)/AR71-60</f>
        <v/>
      </c>
      <c r="AJ71" s="4" t="n"/>
      <c r="AK71" s="15" t="n"/>
      <c r="AL71" s="15" t="n"/>
      <c r="AM71" s="15" t="n"/>
      <c r="AN71" s="15" t="n"/>
      <c r="AO71" s="4">
        <f>ROUND(AK71/7,0)</f>
        <v/>
      </c>
      <c r="AP71" s="4">
        <f>ROUND(AL71/15,0)</f>
        <v/>
      </c>
      <c r="AQ71" s="4">
        <f>ROUND(AM71/30,0)</f>
        <v/>
      </c>
      <c r="AR71" s="4" t="n"/>
      <c r="AS71" s="4" t="n"/>
      <c r="AT71" s="4">
        <f>AR71*(W71+7+30)</f>
        <v/>
      </c>
      <c r="AU71" s="4" t="n"/>
      <c r="AV71" s="4">
        <f>MAX(0,AT71-AD71-AC71)</f>
        <v/>
      </c>
      <c r="AW71" s="4" t="n"/>
      <c r="AX71" s="14">
        <f>TODAY()</f>
        <v/>
      </c>
      <c r="AY71" s="4" t="n"/>
      <c r="AZ71" s="4" t="n"/>
      <c r="BA71" s="16" t="n"/>
      <c r="BB71" s="16" t="n"/>
      <c r="BC71" s="16" t="n"/>
    </row>
    <row r="72" ht="14.25" customHeight="1" s="31">
      <c r="A72" s="4" t="n"/>
      <c r="B72" s="19" t="n"/>
      <c r="C72" s="4" t="n"/>
      <c r="D72" s="19" t="n"/>
      <c r="E72" s="19" t="n"/>
      <c r="F72" s="19" t="n"/>
      <c r="G72" s="34" t="n"/>
      <c r="H72" s="34" t="n"/>
      <c r="I72" s="34" t="n"/>
      <c r="J72" s="19">
        <f>K72*1000</f>
        <v/>
      </c>
      <c r="K72" s="19" t="n"/>
      <c r="L72" s="19" t="n"/>
      <c r="M72" s="19" t="n"/>
      <c r="N72" s="19" t="n"/>
      <c r="O72" s="19" t="n"/>
      <c r="P72" s="19" t="n"/>
      <c r="Q72" s="19">
        <f>ROUND((L72*M72*N72)/1000000,3)</f>
        <v/>
      </c>
      <c r="R72" s="19" t="n"/>
      <c r="S72" s="19" t="n"/>
      <c r="T72" s="4" t="n"/>
      <c r="U72" s="4" t="n"/>
      <c r="V72" s="19" t="n"/>
      <c r="W72" s="19" t="n"/>
      <c r="X72" s="4">
        <f>AR72*(W72+35+10)</f>
        <v/>
      </c>
      <c r="Y72" s="4">
        <f>AR72*(W72+35+10+45)</f>
        <v/>
      </c>
      <c r="Z72" s="4">
        <f>AA72+AB72+AC72</f>
        <v/>
      </c>
      <c r="AA72" s="4" t="n"/>
      <c r="AB72" s="4" t="n"/>
      <c r="AC72" s="4" t="n"/>
      <c r="AD72" s="4">
        <f>AA72+AB72</f>
        <v/>
      </c>
      <c r="AE72" s="13">
        <f>IF(AD72&lt;=AT72,"库存不足",IF(AD72&gt;=AT72*1.5,"库存预警","库存正常"))</f>
        <v/>
      </c>
      <c r="AF72" s="4">
        <f>MAX(AT72-AA72-AB72,0)</f>
        <v/>
      </c>
      <c r="AG72" s="4">
        <f>MAX(X72-AD72,0)</f>
        <v/>
      </c>
      <c r="AH72" s="4">
        <f>AF72-AG72</f>
        <v/>
      </c>
      <c r="AI72" s="14">
        <f>AX72+(AA72+AB72)/AR72-60</f>
        <v/>
      </c>
      <c r="AJ72" s="4" t="n"/>
      <c r="AK72" s="15" t="n"/>
      <c r="AL72" s="15" t="n"/>
      <c r="AM72" s="15" t="n"/>
      <c r="AN72" s="15" t="n"/>
      <c r="AO72" s="4">
        <f>ROUND(AK72/7,0)</f>
        <v/>
      </c>
      <c r="AP72" s="4">
        <f>ROUND(AL72/15,0)</f>
        <v/>
      </c>
      <c r="AQ72" s="4">
        <f>ROUND(AM72/30,0)</f>
        <v/>
      </c>
      <c r="AR72" s="4" t="n"/>
      <c r="AS72" s="4" t="n"/>
      <c r="AT72" s="4">
        <f>AR72*(W72+7+30)</f>
        <v/>
      </c>
      <c r="AU72" s="4" t="n"/>
      <c r="AV72" s="4">
        <f>MAX(0,AT72-AD72-AC72)</f>
        <v/>
      </c>
      <c r="AW72" s="4" t="n"/>
      <c r="AX72" s="14">
        <f>TODAY()</f>
        <v/>
      </c>
      <c r="AY72" s="4" t="n"/>
      <c r="AZ72" s="4" t="n"/>
      <c r="BA72" s="16" t="n"/>
      <c r="BB72" s="16" t="n"/>
      <c r="BC72" s="16" t="n"/>
    </row>
    <row r="73" ht="14.25" customHeight="1" s="31">
      <c r="A73" s="4" t="n"/>
      <c r="B73" s="19" t="n"/>
      <c r="C73" s="4" t="n"/>
      <c r="D73" s="19" t="n"/>
      <c r="E73" s="19" t="n"/>
      <c r="F73" s="19" t="n"/>
      <c r="G73" s="34" t="n"/>
      <c r="H73" s="34" t="n"/>
      <c r="I73" s="34" t="n"/>
      <c r="J73" s="19">
        <f>K73*1000</f>
        <v/>
      </c>
      <c r="K73" s="19" t="n"/>
      <c r="L73" s="19" t="n"/>
      <c r="M73" s="19" t="n"/>
      <c r="N73" s="19" t="n"/>
      <c r="O73" s="19" t="n"/>
      <c r="P73" s="19" t="n"/>
      <c r="Q73" s="19">
        <f>ROUND((L73*M73*N73)/1000000,3)</f>
        <v/>
      </c>
      <c r="R73" s="19" t="n"/>
      <c r="S73" s="19" t="n"/>
      <c r="T73" s="4" t="n"/>
      <c r="U73" s="4" t="n"/>
      <c r="V73" s="19" t="n"/>
      <c r="W73" s="19" t="n"/>
      <c r="X73" s="4">
        <f>AR73*(W73+35+10)</f>
        <v/>
      </c>
      <c r="Y73" s="4">
        <f>AR73*(W73+35+10+45)</f>
        <v/>
      </c>
      <c r="Z73" s="4">
        <f>AA73+AB73+AC73</f>
        <v/>
      </c>
      <c r="AA73" s="4" t="n"/>
      <c r="AB73" s="4" t="n"/>
      <c r="AC73" s="4" t="n"/>
      <c r="AD73" s="4">
        <f>AA73+AB73</f>
        <v/>
      </c>
      <c r="AE73" s="13">
        <f>IF(AD73&lt;=AT73,"库存不足",IF(AD73&gt;=AT73*1.5,"库存预警","库存正常"))</f>
        <v/>
      </c>
      <c r="AF73" s="4">
        <f>MAX(AT73-AA73-AB73,0)</f>
        <v/>
      </c>
      <c r="AG73" s="4">
        <f>MAX(X73-AD73,0)</f>
        <v/>
      </c>
      <c r="AH73" s="4">
        <f>AF73-AG73</f>
        <v/>
      </c>
      <c r="AI73" s="14">
        <f>AX73+(AA73+AB73)/AR73-60</f>
        <v/>
      </c>
      <c r="AJ73" s="4" t="n"/>
      <c r="AK73" s="15" t="n"/>
      <c r="AL73" s="15" t="n"/>
      <c r="AM73" s="15" t="n"/>
      <c r="AN73" s="15" t="n"/>
      <c r="AO73" s="4">
        <f>ROUND(AK73/7,0)</f>
        <v/>
      </c>
      <c r="AP73" s="4">
        <f>ROUND(AL73/15,0)</f>
        <v/>
      </c>
      <c r="AQ73" s="4">
        <f>ROUND(AM73/30,0)</f>
        <v/>
      </c>
      <c r="AR73" s="4" t="n"/>
      <c r="AS73" s="4" t="n"/>
      <c r="AT73" s="4">
        <f>AR73*(W73+7+30)</f>
        <v/>
      </c>
      <c r="AU73" s="4" t="n"/>
      <c r="AV73" s="4">
        <f>MAX(0,AT73-AD73-AC73)</f>
        <v/>
      </c>
      <c r="AW73" s="4" t="n"/>
      <c r="AX73" s="14">
        <f>TODAY()</f>
        <v/>
      </c>
      <c r="AY73" s="4" t="n"/>
      <c r="AZ73" s="4" t="n"/>
      <c r="BA73" s="16" t="n"/>
      <c r="BB73" s="16" t="n"/>
      <c r="BC73" s="16" t="n"/>
    </row>
    <row r="74" ht="14.25" customHeight="1" s="31">
      <c r="A74" s="4" t="n"/>
      <c r="B74" s="19" t="n"/>
      <c r="C74" s="4" t="n"/>
      <c r="D74" s="19" t="n"/>
      <c r="E74" s="19" t="n"/>
      <c r="F74" s="19" t="n"/>
      <c r="G74" s="34" t="n"/>
      <c r="H74" s="34" t="n"/>
      <c r="I74" s="34" t="n"/>
      <c r="J74" s="19">
        <f>K74*1000</f>
        <v/>
      </c>
      <c r="K74" s="19" t="n"/>
      <c r="L74" s="19" t="n"/>
      <c r="M74" s="19" t="n"/>
      <c r="N74" s="19" t="n"/>
      <c r="O74" s="19" t="n"/>
      <c r="P74" s="19" t="n"/>
      <c r="Q74" s="19">
        <f>ROUND((L74*M74*N74)/1000000,3)</f>
        <v/>
      </c>
      <c r="R74" s="19" t="n"/>
      <c r="S74" s="19" t="n"/>
      <c r="T74" s="4" t="n"/>
      <c r="U74" s="4" t="n"/>
      <c r="V74" s="19" t="n"/>
      <c r="W74" s="19" t="n"/>
      <c r="X74" s="4">
        <f>AR74*(W74+35+10)</f>
        <v/>
      </c>
      <c r="Y74" s="4">
        <f>AR74*(W74+35+10+45)</f>
        <v/>
      </c>
      <c r="Z74" s="4">
        <f>AA74+AB74+AC74</f>
        <v/>
      </c>
      <c r="AA74" s="4" t="n"/>
      <c r="AB74" s="4" t="n"/>
      <c r="AC74" s="4" t="n"/>
      <c r="AD74" s="4">
        <f>AA74+AB74</f>
        <v/>
      </c>
      <c r="AE74" s="13">
        <f>IF(AD74&lt;=AT74,"库存不足",IF(AD74&gt;=AT74*1.5,"库存预警","库存正常"))</f>
        <v/>
      </c>
      <c r="AF74" s="4">
        <f>MAX(AT74-AA74-AB74,0)</f>
        <v/>
      </c>
      <c r="AG74" s="4">
        <f>MAX(X74-AD74,0)</f>
        <v/>
      </c>
      <c r="AH74" s="4">
        <f>AF74-AG74</f>
        <v/>
      </c>
      <c r="AI74" s="14">
        <f>AX74+(AA74+AB74)/AR74-60</f>
        <v/>
      </c>
      <c r="AJ74" s="4" t="n"/>
      <c r="AK74" s="15" t="n"/>
      <c r="AL74" s="15" t="n"/>
      <c r="AM74" s="15" t="n"/>
      <c r="AN74" s="15" t="n"/>
      <c r="AO74" s="4">
        <f>ROUND(AK74/7,0)</f>
        <v/>
      </c>
      <c r="AP74" s="4">
        <f>ROUND(AL74/15,0)</f>
        <v/>
      </c>
      <c r="AQ74" s="4">
        <f>ROUND(AM74/30,0)</f>
        <v/>
      </c>
      <c r="AR74" s="4" t="n"/>
      <c r="AS74" s="4" t="n"/>
      <c r="AT74" s="4">
        <f>AR74*(W74+7+30)</f>
        <v/>
      </c>
      <c r="AU74" s="4" t="n"/>
      <c r="AV74" s="4">
        <f>MAX(0,AT74-AD74-AC74)</f>
        <v/>
      </c>
      <c r="AW74" s="4" t="n"/>
      <c r="AX74" s="14">
        <f>TODAY()</f>
        <v/>
      </c>
      <c r="AY74" s="4" t="n"/>
      <c r="AZ74" s="4" t="n"/>
      <c r="BA74" s="16" t="n"/>
      <c r="BB74" s="16" t="n"/>
      <c r="BC74" s="16" t="n"/>
    </row>
    <row r="75" ht="14.25" customHeight="1" s="31">
      <c r="A75" s="4" t="n"/>
      <c r="B75" s="19" t="n"/>
      <c r="C75" s="4" t="n"/>
      <c r="D75" s="19" t="n"/>
      <c r="E75" s="19" t="n"/>
      <c r="F75" s="19" t="n"/>
      <c r="G75" s="34" t="n"/>
      <c r="H75" s="34" t="n"/>
      <c r="I75" s="34" t="n"/>
      <c r="J75" s="19" t="n"/>
      <c r="K75" s="19" t="n"/>
      <c r="L75" s="19" t="n"/>
      <c r="M75" s="19" t="n"/>
      <c r="N75" s="19" t="n"/>
      <c r="O75" s="19" t="n"/>
      <c r="P75" s="19" t="n"/>
      <c r="Q75" s="19">
        <f>ROUND((L75*M75*N75)/1000000,3)</f>
        <v/>
      </c>
      <c r="R75" s="19" t="n"/>
      <c r="S75" s="19" t="n"/>
      <c r="T75" s="4" t="n"/>
      <c r="U75" s="4" t="n"/>
      <c r="V75" s="19" t="n"/>
      <c r="W75" s="19" t="n"/>
      <c r="X75" s="4">
        <f>AR75*(W75+35+10)</f>
        <v/>
      </c>
      <c r="Y75" s="4">
        <f>AR75*(W75+35+10+45)</f>
        <v/>
      </c>
      <c r="Z75" s="4">
        <f>AA75+AB75+AC75</f>
        <v/>
      </c>
      <c r="AA75" s="4" t="n"/>
      <c r="AB75" s="4" t="n"/>
      <c r="AC75" s="4" t="n"/>
      <c r="AD75" s="4">
        <f>AA75+AB75</f>
        <v/>
      </c>
      <c r="AE75" s="13">
        <f>IF(AD75&lt;=AT75,"库存不足",IF(AD75&gt;=AT75*1.5,"库存预警","库存正常"))</f>
        <v/>
      </c>
      <c r="AF75" s="4">
        <f>MAX(AT75-AA75-AB75,0)</f>
        <v/>
      </c>
      <c r="AG75" s="4">
        <f>MAX(X75-AD75,0)</f>
        <v/>
      </c>
      <c r="AH75" s="4">
        <f>AF75-AG75</f>
        <v/>
      </c>
      <c r="AI75" s="14">
        <f>AX75+(AA75+AB75)/AR75-60</f>
        <v/>
      </c>
      <c r="AJ75" s="4" t="n"/>
      <c r="AK75" s="15" t="n"/>
      <c r="AL75" s="15" t="n"/>
      <c r="AM75" s="15" t="n"/>
      <c r="AN75" s="15" t="n"/>
      <c r="AO75" s="4">
        <f>ROUND(AK75/7,0)</f>
        <v/>
      </c>
      <c r="AP75" s="4">
        <f>ROUND(AL75/15,0)</f>
        <v/>
      </c>
      <c r="AQ75" s="4">
        <f>ROUND(AM75/30,0)</f>
        <v/>
      </c>
      <c r="AR75" s="4" t="n"/>
      <c r="AS75" s="4" t="n"/>
      <c r="AT75" s="4">
        <f>AR75*(W75+7+30)</f>
        <v/>
      </c>
      <c r="AU75" s="4" t="n"/>
      <c r="AV75" s="4">
        <f>MAX(0,AT75-AD75-AC75)</f>
        <v/>
      </c>
      <c r="AW75" s="4" t="n"/>
      <c r="AX75" s="14">
        <f>TODAY()</f>
        <v/>
      </c>
      <c r="AY75" s="4" t="n"/>
      <c r="AZ75" s="4" t="n"/>
      <c r="BA75" s="16" t="n"/>
      <c r="BB75" s="16" t="n"/>
      <c r="BC75" s="16" t="n"/>
    </row>
    <row r="76" ht="14.25" customHeight="1" s="31">
      <c r="A76" s="4" t="n"/>
      <c r="B76" s="19" t="n"/>
      <c r="C76" s="4" t="n"/>
      <c r="D76" s="19" t="n"/>
      <c r="E76" s="19" t="n"/>
      <c r="F76" s="19" t="n"/>
      <c r="G76" s="34" t="n"/>
      <c r="H76" s="34" t="n"/>
      <c r="I76" s="34" t="n"/>
      <c r="J76" s="19">
        <f>K76*1000</f>
        <v/>
      </c>
      <c r="K76" s="19" t="n"/>
      <c r="L76" s="19" t="n"/>
      <c r="M76" s="19" t="n"/>
      <c r="N76" s="19" t="n"/>
      <c r="O76" s="19" t="n"/>
      <c r="P76" s="34" t="n"/>
      <c r="Q76" s="19">
        <f>ROUND((L76*M76*N76)/1000000,3)</f>
        <v/>
      </c>
      <c r="R76" s="19" t="n"/>
      <c r="S76" s="19" t="n"/>
      <c r="T76" s="4" t="n"/>
      <c r="U76" s="4" t="n"/>
      <c r="V76" s="19" t="n"/>
      <c r="W76" s="19" t="n"/>
      <c r="X76" s="4">
        <f>AR76*(W76+35+10)</f>
        <v/>
      </c>
      <c r="Y76" s="4">
        <f>AR76*(W76+35+10+45)</f>
        <v/>
      </c>
      <c r="Z76" s="4">
        <f>AA76+AB76+AC76</f>
        <v/>
      </c>
      <c r="AA76" s="4" t="n"/>
      <c r="AB76" s="4" t="n"/>
      <c r="AC76" s="4" t="n"/>
      <c r="AD76" s="4">
        <f>AA76+AB76</f>
        <v/>
      </c>
      <c r="AE76" s="13">
        <f>IF(AD76&lt;=AT76,"库存不足",IF(AD76&gt;=AT76*1.5,"库存预警","库存正常"))</f>
        <v/>
      </c>
      <c r="AF76" s="4">
        <f>MAX(AT76-AA76-AB76,0)</f>
        <v/>
      </c>
      <c r="AG76" s="4">
        <f>MAX(X76-AD76,0)</f>
        <v/>
      </c>
      <c r="AH76" s="4">
        <f>AF76-AG76</f>
        <v/>
      </c>
      <c r="AI76" s="14">
        <f>AX76+(AA76+AB76)/AR76-60</f>
        <v/>
      </c>
      <c r="AJ76" s="4" t="n"/>
      <c r="AK76" s="15" t="n"/>
      <c r="AL76" s="15" t="n"/>
      <c r="AM76" s="15" t="n"/>
      <c r="AN76" s="15" t="n"/>
      <c r="AO76" s="4">
        <f>ROUND(AK76/7,0)</f>
        <v/>
      </c>
      <c r="AP76" s="4">
        <f>ROUND(AL76/15,0)</f>
        <v/>
      </c>
      <c r="AQ76" s="4">
        <f>ROUND(AM76/30,0)</f>
        <v/>
      </c>
      <c r="AR76" s="4" t="n"/>
      <c r="AS76" s="4" t="n"/>
      <c r="AT76" s="4">
        <f>AR76*(W76+7+30)</f>
        <v/>
      </c>
      <c r="AU76" s="4" t="n"/>
      <c r="AV76" s="4">
        <f>MAX(0,AT76-AD76-AC76)</f>
        <v/>
      </c>
      <c r="AW76" s="4" t="n"/>
      <c r="AX76" s="14">
        <f>TODAY()</f>
        <v/>
      </c>
      <c r="AY76" s="4" t="n"/>
      <c r="AZ76" s="4" t="n"/>
      <c r="BA76" s="16" t="n"/>
      <c r="BB76" s="16" t="n"/>
      <c r="BC76" s="16" t="n"/>
    </row>
    <row r="77" ht="14.25" customHeight="1" s="31">
      <c r="A77" s="4" t="n"/>
      <c r="B77" s="19" t="n"/>
      <c r="C77" s="4" t="n"/>
      <c r="D77" s="19" t="n"/>
      <c r="E77" s="19" t="n"/>
      <c r="F77" s="19" t="n"/>
      <c r="G77" s="34" t="n"/>
      <c r="H77" s="34" t="n"/>
      <c r="I77" s="34" t="n"/>
      <c r="J77" s="19">
        <f>K77*1000</f>
        <v/>
      </c>
      <c r="K77" s="19" t="n"/>
      <c r="L77" s="19" t="n"/>
      <c r="M77" s="19" t="n"/>
      <c r="N77" s="19" t="n"/>
      <c r="O77" s="19" t="n"/>
      <c r="P77" s="34" t="n"/>
      <c r="Q77" s="19">
        <f>ROUND((L77*M77*N77)/1000000,3)</f>
        <v/>
      </c>
      <c r="R77" s="19" t="n"/>
      <c r="S77" s="19" t="n"/>
      <c r="T77" s="4" t="n"/>
      <c r="U77" s="4" t="n"/>
      <c r="V77" s="19" t="n"/>
      <c r="W77" s="19" t="n"/>
      <c r="X77" s="4">
        <f>AR77*(W77+35+10)</f>
        <v/>
      </c>
      <c r="Y77" s="4">
        <f>AR77*(W77+35+10+45)</f>
        <v/>
      </c>
      <c r="Z77" s="4">
        <f>AA77+AB77+AC77</f>
        <v/>
      </c>
      <c r="AA77" s="4" t="n"/>
      <c r="AB77" s="4" t="n"/>
      <c r="AC77" s="4" t="n"/>
      <c r="AD77" s="4">
        <f>AA77+AB77</f>
        <v/>
      </c>
      <c r="AE77" s="13">
        <f>IF(AD77&lt;=AT77,"库存不足",IF(AD77&gt;=AT77*1.5,"库存预警","库存正常"))</f>
        <v/>
      </c>
      <c r="AF77" s="4">
        <f>MAX(AT77-AA77-AB77,0)</f>
        <v/>
      </c>
      <c r="AG77" s="4">
        <f>MAX(X77-AD77,0)</f>
        <v/>
      </c>
      <c r="AH77" s="4">
        <f>AF77-AG77</f>
        <v/>
      </c>
      <c r="AI77" s="14">
        <f>AX77+(AA77+AB77)/AR77-60</f>
        <v/>
      </c>
      <c r="AJ77" s="4" t="n"/>
      <c r="AK77" s="15" t="n"/>
      <c r="AL77" s="15" t="n"/>
      <c r="AM77" s="15" t="n"/>
      <c r="AN77" s="15" t="n"/>
      <c r="AO77" s="4">
        <f>ROUND(AK77/7,0)</f>
        <v/>
      </c>
      <c r="AP77" s="4">
        <f>ROUND(AL77/15,0)</f>
        <v/>
      </c>
      <c r="AQ77" s="4">
        <f>ROUND(AM77/30,0)</f>
        <v/>
      </c>
      <c r="AR77" s="4" t="n"/>
      <c r="AS77" s="4" t="n"/>
      <c r="AT77" s="4">
        <f>AR77*(W77+7+30)</f>
        <v/>
      </c>
      <c r="AU77" s="4" t="n"/>
      <c r="AV77" s="4">
        <f>MAX(0,AT77-AD77-AC77)</f>
        <v/>
      </c>
      <c r="AW77" s="4" t="n"/>
      <c r="AX77" s="14">
        <f>TODAY()</f>
        <v/>
      </c>
      <c r="AY77" s="4" t="n"/>
      <c r="AZ77" s="4" t="n"/>
      <c r="BA77" s="16" t="n"/>
      <c r="BB77" s="16" t="n"/>
      <c r="BC77" s="16" t="n"/>
    </row>
    <row r="78" ht="14.25" customHeight="1" s="31">
      <c r="A78" s="4" t="n"/>
      <c r="B78" s="19" t="n"/>
      <c r="C78" s="4" t="n"/>
      <c r="D78" s="19" t="n"/>
      <c r="E78" s="19" t="n"/>
      <c r="F78" s="19" t="n"/>
      <c r="G78" s="34" t="n"/>
      <c r="H78" s="34" t="n"/>
      <c r="I78" s="34" t="n"/>
      <c r="J78" s="19">
        <f>K78*1000</f>
        <v/>
      </c>
      <c r="K78" s="19" t="n"/>
      <c r="L78" s="19" t="n"/>
      <c r="M78" s="19" t="n"/>
      <c r="N78" s="19" t="n"/>
      <c r="O78" s="19" t="n"/>
      <c r="P78" s="34" t="n"/>
      <c r="Q78" s="19">
        <f>ROUND((L78*M78*N78)/1000000,3)</f>
        <v/>
      </c>
      <c r="R78" s="19" t="n"/>
      <c r="S78" s="19" t="n"/>
      <c r="T78" s="4" t="n"/>
      <c r="U78" s="4" t="n"/>
      <c r="V78" s="19" t="n"/>
      <c r="W78" s="19" t="n"/>
      <c r="X78" s="4">
        <f>AR78*(W78+35+10)</f>
        <v/>
      </c>
      <c r="Y78" s="4">
        <f>AR78*(W78+35+10+45)</f>
        <v/>
      </c>
      <c r="Z78" s="4">
        <f>AA78+AB78+AC78</f>
        <v/>
      </c>
      <c r="AA78" s="4" t="n"/>
      <c r="AB78" s="4" t="n"/>
      <c r="AC78" s="4" t="n"/>
      <c r="AD78" s="4">
        <f>AA78+AB78</f>
        <v/>
      </c>
      <c r="AE78" s="13">
        <f>IF(AD78&lt;=AT78,"库存不足",IF(AD78&gt;=AT78*1.5,"库存预警","库存正常"))</f>
        <v/>
      </c>
      <c r="AF78" s="4">
        <f>MAX(AT78-AA78-AB78,0)</f>
        <v/>
      </c>
      <c r="AG78" s="4">
        <f>MAX(X78-AD78,0)</f>
        <v/>
      </c>
      <c r="AH78" s="4">
        <f>AF78-AG78</f>
        <v/>
      </c>
      <c r="AI78" s="14">
        <f>AX78+(AA78+AB78)/AR78-60</f>
        <v/>
      </c>
      <c r="AJ78" s="4" t="n"/>
      <c r="AK78" s="15" t="n"/>
      <c r="AL78" s="15" t="n"/>
      <c r="AM78" s="15" t="n"/>
      <c r="AN78" s="15" t="n"/>
      <c r="AO78" s="4">
        <f>ROUND(AK78/7,0)</f>
        <v/>
      </c>
      <c r="AP78" s="4">
        <f>ROUND(AL78/15,0)</f>
        <v/>
      </c>
      <c r="AQ78" s="4">
        <f>ROUND(AM78/30,0)</f>
        <v/>
      </c>
      <c r="AR78" s="4" t="n"/>
      <c r="AS78" s="4" t="n"/>
      <c r="AT78" s="4">
        <f>AR78*(W78+7+30)</f>
        <v/>
      </c>
      <c r="AU78" s="4" t="n"/>
      <c r="AV78" s="4">
        <f>MAX(0,AT78-AD78-AC78)</f>
        <v/>
      </c>
      <c r="AW78" s="4" t="n"/>
      <c r="AX78" s="14">
        <f>TODAY()</f>
        <v/>
      </c>
      <c r="AY78" s="4" t="n"/>
      <c r="AZ78" s="4" t="n"/>
      <c r="BA78" s="16" t="n"/>
      <c r="BB78" s="16" t="n"/>
      <c r="BC78" s="16" t="n"/>
    </row>
    <row r="79" ht="14.25" customHeight="1" s="31">
      <c r="A79" s="4" t="n"/>
      <c r="B79" s="19" t="n"/>
      <c r="C79" s="4" t="n"/>
      <c r="D79" s="19" t="n"/>
      <c r="E79" s="19" t="n"/>
      <c r="F79" s="19" t="n"/>
      <c r="G79" s="34" t="n"/>
      <c r="H79" s="34" t="n"/>
      <c r="I79" s="34" t="n"/>
      <c r="J79" s="19">
        <f>K79*1000</f>
        <v/>
      </c>
      <c r="K79" s="19" t="n"/>
      <c r="L79" s="19" t="n"/>
      <c r="M79" s="19" t="n"/>
      <c r="N79" s="19" t="n"/>
      <c r="O79" s="19" t="n"/>
      <c r="P79" s="34" t="n"/>
      <c r="Q79" s="19">
        <f>ROUND((L79*M79*N79)/1000000,3)</f>
        <v/>
      </c>
      <c r="R79" s="19" t="n"/>
      <c r="S79" s="19" t="n"/>
      <c r="T79" s="4" t="n"/>
      <c r="U79" s="4" t="n"/>
      <c r="V79" s="19" t="n"/>
      <c r="W79" s="19" t="n"/>
      <c r="X79" s="4">
        <f>AR79*(W79+35+10)</f>
        <v/>
      </c>
      <c r="Y79" s="4">
        <f>AR79*(W79+35+10+45)</f>
        <v/>
      </c>
      <c r="Z79" s="4">
        <f>AA79+AB79+AC79</f>
        <v/>
      </c>
      <c r="AA79" s="4" t="n"/>
      <c r="AB79" s="4" t="n"/>
      <c r="AC79" s="4" t="n"/>
      <c r="AD79" s="4">
        <f>AA79+AB79</f>
        <v/>
      </c>
      <c r="AE79" s="13">
        <f>IF(AD79&lt;=AT79,"库存不足",IF(AD79&gt;=AT79*1.5,"库存预警","库存正常"))</f>
        <v/>
      </c>
      <c r="AF79" s="4">
        <f>MAX(AT79-AA79-AB79,0)</f>
        <v/>
      </c>
      <c r="AG79" s="4">
        <f>MAX(X79-AD79,0)</f>
        <v/>
      </c>
      <c r="AH79" s="4">
        <f>AF79-AG79</f>
        <v/>
      </c>
      <c r="AI79" s="14">
        <f>AX79+(AA79+AB79)/AR79-60</f>
        <v/>
      </c>
      <c r="AJ79" s="4" t="n"/>
      <c r="AK79" s="15" t="n"/>
      <c r="AL79" s="15" t="n"/>
      <c r="AM79" s="15" t="n"/>
      <c r="AN79" s="15" t="n"/>
      <c r="AO79" s="4">
        <f>ROUND(AK79/7,0)</f>
        <v/>
      </c>
      <c r="AP79" s="4">
        <f>ROUND(AL79/15,0)</f>
        <v/>
      </c>
      <c r="AQ79" s="4">
        <f>ROUND(AM79/30,0)</f>
        <v/>
      </c>
      <c r="AR79" s="4" t="n"/>
      <c r="AS79" s="4" t="n"/>
      <c r="AT79" s="4">
        <f>AR79*(W79+7+30)</f>
        <v/>
      </c>
      <c r="AU79" s="4" t="n"/>
      <c r="AV79" s="4">
        <f>MAX(0,AT79-AD79-AC79)</f>
        <v/>
      </c>
      <c r="AW79" s="4" t="n"/>
      <c r="AX79" s="14">
        <f>TODAY()</f>
        <v/>
      </c>
      <c r="AY79" s="4" t="n"/>
      <c r="AZ79" s="4" t="n"/>
      <c r="BA79" s="16" t="n"/>
      <c r="BB79" s="16" t="n"/>
      <c r="BC79" s="16" t="n"/>
    </row>
    <row r="80" ht="14.25" customHeight="1" s="31">
      <c r="A80" s="4" t="n"/>
      <c r="B80" s="19" t="n"/>
      <c r="C80" s="4" t="n"/>
      <c r="D80" s="19" t="n"/>
      <c r="E80" s="19" t="n"/>
      <c r="F80" s="19" t="n"/>
      <c r="G80" s="34" t="n"/>
      <c r="H80" s="34" t="n"/>
      <c r="I80" s="34" t="n"/>
      <c r="J80" s="19">
        <f>K80*1000</f>
        <v/>
      </c>
      <c r="K80" s="19" t="n"/>
      <c r="L80" s="19" t="n"/>
      <c r="M80" s="19" t="n"/>
      <c r="N80" s="19" t="n"/>
      <c r="O80" s="19" t="n"/>
      <c r="P80" s="34" t="n"/>
      <c r="Q80" s="19">
        <f>ROUND((L80*M80*N80)/1000000,3)</f>
        <v/>
      </c>
      <c r="R80" s="19" t="n"/>
      <c r="S80" s="19" t="n"/>
      <c r="T80" s="4" t="n"/>
      <c r="U80" s="4" t="n"/>
      <c r="V80" s="19" t="n"/>
      <c r="W80" s="19" t="n"/>
      <c r="X80" s="4">
        <f>AR80*(W80+35+10)</f>
        <v/>
      </c>
      <c r="Y80" s="4">
        <f>AR80*(W80+35+10+45)</f>
        <v/>
      </c>
      <c r="Z80" s="4">
        <f>AA80+AB80+AC80</f>
        <v/>
      </c>
      <c r="AA80" s="4" t="n"/>
      <c r="AB80" s="4" t="n"/>
      <c r="AC80" s="4" t="n"/>
      <c r="AD80" s="4">
        <f>AA80+AB80</f>
        <v/>
      </c>
      <c r="AE80" s="13">
        <f>IF(AD80&lt;=AT80,"库存不足",IF(AD80&gt;=AT80*1.5,"库存预警","库存正常"))</f>
        <v/>
      </c>
      <c r="AF80" s="4">
        <f>MAX(AT80-AA80-AB80,0)</f>
        <v/>
      </c>
      <c r="AG80" s="4">
        <f>MAX(X80-AD80,0)</f>
        <v/>
      </c>
      <c r="AH80" s="4">
        <f>AF80-AG80</f>
        <v/>
      </c>
      <c r="AI80" s="14">
        <f>AX80+(AA80+AB80)/AR80-60</f>
        <v/>
      </c>
      <c r="AJ80" s="4" t="n"/>
      <c r="AK80" s="15" t="n"/>
      <c r="AL80" s="15" t="n"/>
      <c r="AM80" s="15" t="n"/>
      <c r="AN80" s="15" t="n"/>
      <c r="AO80" s="4">
        <f>ROUND(AK80/7,0)</f>
        <v/>
      </c>
      <c r="AP80" s="4">
        <f>ROUND(AL80/15,0)</f>
        <v/>
      </c>
      <c r="AQ80" s="4">
        <f>ROUND(AM80/30,0)</f>
        <v/>
      </c>
      <c r="AR80" s="4" t="n"/>
      <c r="AS80" s="4" t="n"/>
      <c r="AT80" s="4">
        <f>AR80*(W80+7+30)</f>
        <v/>
      </c>
      <c r="AU80" s="4" t="n"/>
      <c r="AV80" s="4">
        <f>MAX(0,AT80-AD80-AC80)</f>
        <v/>
      </c>
      <c r="AW80" s="4" t="n"/>
      <c r="AX80" s="14">
        <f>TODAY()</f>
        <v/>
      </c>
      <c r="AY80" s="4" t="n"/>
      <c r="AZ80" s="4" t="n"/>
      <c r="BA80" s="16" t="n"/>
      <c r="BB80" s="16" t="n"/>
      <c r="BC80" s="16" t="n"/>
    </row>
    <row r="81" ht="14.25" customHeight="1" s="31">
      <c r="A81" s="4" t="n"/>
      <c r="B81" s="19" t="n"/>
      <c r="C81" s="4" t="n"/>
      <c r="D81" s="19" t="n"/>
      <c r="E81" s="19" t="n"/>
      <c r="F81" s="19" t="n"/>
      <c r="G81" s="34" t="n"/>
      <c r="H81" s="34" t="n"/>
      <c r="I81" s="34" t="n"/>
      <c r="J81" s="19" t="n"/>
      <c r="K81" s="19" t="n"/>
      <c r="L81" s="19" t="n"/>
      <c r="M81" s="19" t="n"/>
      <c r="N81" s="19" t="n"/>
      <c r="O81" s="19" t="n"/>
      <c r="P81" s="19" t="n"/>
      <c r="Q81" s="19">
        <f>ROUND((L81*M81*N81)/1000000,3)</f>
        <v/>
      </c>
      <c r="R81" s="19" t="n"/>
      <c r="S81" s="19" t="n"/>
      <c r="T81" s="4" t="n"/>
      <c r="U81" s="4" t="n"/>
      <c r="V81" s="19" t="n"/>
      <c r="W81" s="19" t="n"/>
      <c r="X81" s="4">
        <f>AR81*(W81+35+10)</f>
        <v/>
      </c>
      <c r="Y81" s="4">
        <f>AR81*(W81+35+10+45)</f>
        <v/>
      </c>
      <c r="Z81" s="4">
        <f>AA81+AB81+AC81</f>
        <v/>
      </c>
      <c r="AA81" s="4" t="n"/>
      <c r="AB81" s="4" t="n"/>
      <c r="AC81" s="4" t="n"/>
      <c r="AD81" s="4">
        <f>AA81+AB81</f>
        <v/>
      </c>
      <c r="AE81" s="13">
        <f>IF(AD81&lt;=AT81,"库存不足",IF(AD81&gt;=AT81*1.5,"库存预警","库存正常"))</f>
        <v/>
      </c>
      <c r="AF81" s="4">
        <f>MAX(AT81-AA81-AB81,0)</f>
        <v/>
      </c>
      <c r="AG81" s="4">
        <f>MAX(X81-AD81,0)</f>
        <v/>
      </c>
      <c r="AH81" s="4">
        <f>AF81-AG81</f>
        <v/>
      </c>
      <c r="AI81" s="14">
        <f>AX81+(AA81+AB81)/AR81-60</f>
        <v/>
      </c>
      <c r="AJ81" s="4" t="n"/>
      <c r="AK81" s="15" t="n"/>
      <c r="AL81" s="15" t="n"/>
      <c r="AM81" s="15" t="n"/>
      <c r="AN81" s="15" t="n"/>
      <c r="AO81" s="4">
        <f>ROUND(AK81/7,0)</f>
        <v/>
      </c>
      <c r="AP81" s="4">
        <f>ROUND(AL81/15,0)</f>
        <v/>
      </c>
      <c r="AQ81" s="4">
        <f>ROUND(AM81/30,0)</f>
        <v/>
      </c>
      <c r="AR81" s="4" t="n"/>
      <c r="AS81" s="4" t="n"/>
      <c r="AT81" s="4">
        <f>AR81*(W81+7+30)</f>
        <v/>
      </c>
      <c r="AU81" s="4" t="n"/>
      <c r="AV81" s="4">
        <f>MAX(0,AT81-AD81-AC81)</f>
        <v/>
      </c>
      <c r="AW81" s="4" t="n"/>
      <c r="AX81" s="14">
        <f>TODAY()</f>
        <v/>
      </c>
      <c r="AY81" s="4" t="n"/>
      <c r="AZ81" s="4" t="n"/>
      <c r="BA81" s="16" t="n"/>
      <c r="BB81" s="16" t="n"/>
      <c r="BC81" s="16" t="n"/>
    </row>
    <row r="82" ht="14.25" customHeight="1" s="31">
      <c r="A82" s="4" t="n"/>
      <c r="B82" s="19" t="n"/>
      <c r="C82" s="4" t="n"/>
      <c r="D82" s="19" t="n"/>
      <c r="E82" s="19" t="n"/>
      <c r="F82" s="19" t="n"/>
      <c r="G82" s="34" t="n"/>
      <c r="H82" s="34" t="n"/>
      <c r="I82" s="34" t="n"/>
      <c r="J82" s="19">
        <f>K82*1000</f>
        <v/>
      </c>
      <c r="K82" s="19" t="n"/>
      <c r="L82" s="19" t="n"/>
      <c r="M82" s="19" t="n"/>
      <c r="N82" s="19" t="n"/>
      <c r="O82" s="19" t="n"/>
      <c r="P82" s="19" t="n"/>
      <c r="Q82" s="19">
        <f>ROUND((L82*M82*N82)/1000000,3)</f>
        <v/>
      </c>
      <c r="R82" s="19" t="n"/>
      <c r="S82" s="19" t="n"/>
      <c r="T82" s="4" t="n"/>
      <c r="U82" s="4" t="n"/>
      <c r="V82" s="19" t="n"/>
      <c r="W82" s="19" t="n"/>
      <c r="X82" s="4">
        <f>AR82*(W82+35+10)</f>
        <v/>
      </c>
      <c r="Y82" s="4">
        <f>AR82*(W82+35+10+45)</f>
        <v/>
      </c>
      <c r="Z82" s="4">
        <f>AA82+AB82+AC82</f>
        <v/>
      </c>
      <c r="AA82" s="4" t="n"/>
      <c r="AB82" s="4" t="n"/>
      <c r="AC82" s="4" t="n"/>
      <c r="AD82" s="4">
        <f>AA82+AB82</f>
        <v/>
      </c>
      <c r="AE82" s="13">
        <f>IF(AD82&lt;=AT82,"库存不足",IF(AD82&gt;=AT82*1.5,"库存预警","库存正常"))</f>
        <v/>
      </c>
      <c r="AF82" s="4">
        <f>MAX(AT82-AA82-AB82,0)</f>
        <v/>
      </c>
      <c r="AG82" s="4">
        <f>MAX(X82-AD82,0)</f>
        <v/>
      </c>
      <c r="AH82" s="4">
        <f>AF82-AG82</f>
        <v/>
      </c>
      <c r="AI82" s="14">
        <f>AX82+(AA82+AB82)/AR82-60</f>
        <v/>
      </c>
      <c r="AJ82" s="4" t="n"/>
      <c r="AK82" s="15" t="n"/>
      <c r="AL82" s="15" t="n"/>
      <c r="AM82" s="15" t="n"/>
      <c r="AN82" s="15" t="n"/>
      <c r="AO82" s="4">
        <f>ROUND(AK82/7,0)</f>
        <v/>
      </c>
      <c r="AP82" s="4">
        <f>ROUND(AL82/15,0)</f>
        <v/>
      </c>
      <c r="AQ82" s="4">
        <f>ROUND(AM82/30,0)</f>
        <v/>
      </c>
      <c r="AR82" s="4" t="n"/>
      <c r="AS82" s="4" t="n"/>
      <c r="AT82" s="4">
        <f>AR82*(W82+7+30)</f>
        <v/>
      </c>
      <c r="AU82" s="4" t="n"/>
      <c r="AV82" s="4">
        <f>MAX(0,AT82-AD82-AC82)</f>
        <v/>
      </c>
      <c r="AW82" s="4" t="n"/>
      <c r="AX82" s="14">
        <f>TODAY()</f>
        <v/>
      </c>
      <c r="AY82" s="4" t="n"/>
      <c r="AZ82" s="4" t="n"/>
      <c r="BA82" s="16" t="n"/>
      <c r="BB82" s="16" t="n"/>
      <c r="BC82" s="16" t="n"/>
    </row>
    <row r="83" ht="14.25" customHeight="1" s="31">
      <c r="A83" s="4" t="n"/>
      <c r="B83" s="19" t="n"/>
      <c r="C83" s="4" t="n"/>
      <c r="D83" s="19" t="n"/>
      <c r="E83" s="19" t="n"/>
      <c r="F83" s="19" t="n"/>
      <c r="G83" s="34" t="n"/>
      <c r="H83" s="34" t="n"/>
      <c r="I83" s="34" t="n"/>
      <c r="J83" s="19">
        <f>K83*1000</f>
        <v/>
      </c>
      <c r="K83" s="19" t="n"/>
      <c r="L83" s="19" t="n"/>
      <c r="M83" s="19" t="n"/>
      <c r="N83" s="19" t="n"/>
      <c r="O83" s="19" t="n"/>
      <c r="P83" s="19" t="n"/>
      <c r="Q83" s="19">
        <f>ROUND((L83*M83*N83)/1000000,3)</f>
        <v/>
      </c>
      <c r="R83" s="19" t="n"/>
      <c r="S83" s="19" t="n"/>
      <c r="T83" s="4" t="n"/>
      <c r="U83" s="4" t="n"/>
      <c r="V83" s="19" t="n"/>
      <c r="W83" s="19" t="n"/>
      <c r="X83" s="4">
        <f>AR83*(W83+35+10)</f>
        <v/>
      </c>
      <c r="Y83" s="4">
        <f>AR83*(W83+35+10+45)</f>
        <v/>
      </c>
      <c r="Z83" s="4">
        <f>AA83+AB83+AC83</f>
        <v/>
      </c>
      <c r="AA83" s="4" t="n"/>
      <c r="AB83" s="4" t="n"/>
      <c r="AC83" s="4" t="n"/>
      <c r="AD83" s="4">
        <f>AA83+AB83</f>
        <v/>
      </c>
      <c r="AE83" s="13">
        <f>IF(AD83&lt;=AT83,"库存不足",IF(AD83&gt;=AT83*1.5,"库存预警","库存正常"))</f>
        <v/>
      </c>
      <c r="AF83" s="4">
        <f>MAX(AT83-AA83-AB83,0)</f>
        <v/>
      </c>
      <c r="AG83" s="4">
        <f>MAX(X83-AD83,0)</f>
        <v/>
      </c>
      <c r="AH83" s="4">
        <f>AF83-AG83</f>
        <v/>
      </c>
      <c r="AI83" s="14">
        <f>AX83+(AA83+AB83)/AR83-60</f>
        <v/>
      </c>
      <c r="AJ83" s="4" t="n"/>
      <c r="AK83" s="15" t="n"/>
      <c r="AL83" s="15" t="n"/>
      <c r="AM83" s="15" t="n"/>
      <c r="AN83" s="15" t="n"/>
      <c r="AO83" s="4">
        <f>ROUND(AK83/7,0)</f>
        <v/>
      </c>
      <c r="AP83" s="4">
        <f>ROUND(AL83/15,0)</f>
        <v/>
      </c>
      <c r="AQ83" s="4">
        <f>ROUND(AM83/30,0)</f>
        <v/>
      </c>
      <c r="AR83" s="4" t="n"/>
      <c r="AS83" s="4" t="n"/>
      <c r="AT83" s="4">
        <f>AR83*(W83+7+30)</f>
        <v/>
      </c>
      <c r="AU83" s="4" t="n"/>
      <c r="AV83" s="4">
        <f>MAX(0,AT83-AD83-AC83)</f>
        <v/>
      </c>
      <c r="AW83" s="4" t="n"/>
      <c r="AX83" s="14">
        <f>TODAY()</f>
        <v/>
      </c>
      <c r="AY83" s="4" t="n"/>
      <c r="AZ83" s="4" t="n"/>
      <c r="BA83" s="16" t="n"/>
      <c r="BB83" s="16" t="n"/>
      <c r="BC83" s="16" t="n"/>
    </row>
    <row r="84" ht="14.25" customHeight="1" s="31">
      <c r="A84" s="4" t="n"/>
      <c r="B84" s="19" t="n"/>
      <c r="C84" s="4" t="n"/>
      <c r="D84" s="19" t="n"/>
      <c r="E84" s="19" t="n"/>
      <c r="F84" s="19" t="n"/>
      <c r="G84" s="34" t="n"/>
      <c r="H84" s="34" t="n"/>
      <c r="I84" s="34" t="n"/>
      <c r="J84" s="19">
        <f>K84*1000</f>
        <v/>
      </c>
      <c r="K84" s="19" t="n"/>
      <c r="L84" s="19" t="n"/>
      <c r="M84" s="19" t="n"/>
      <c r="N84" s="19" t="n"/>
      <c r="O84" s="19" t="n"/>
      <c r="P84" s="19" t="n"/>
      <c r="Q84" s="19">
        <f>ROUND((L84*M84*N84)/1000000,3)</f>
        <v/>
      </c>
      <c r="R84" s="19" t="n"/>
      <c r="S84" s="19" t="n"/>
      <c r="T84" s="4" t="n"/>
      <c r="U84" s="4" t="n"/>
      <c r="V84" s="19" t="n"/>
      <c r="W84" s="19" t="n"/>
      <c r="X84" s="4">
        <f>AR84*(W84+35+10)</f>
        <v/>
      </c>
      <c r="Y84" s="4">
        <f>AR84*(W84+35+10+45)</f>
        <v/>
      </c>
      <c r="Z84" s="4">
        <f>AA84+AB84+AC84</f>
        <v/>
      </c>
      <c r="AA84" s="4" t="n"/>
      <c r="AB84" s="4" t="n"/>
      <c r="AC84" s="4" t="n"/>
      <c r="AD84" s="4">
        <f>AA84+AB84</f>
        <v/>
      </c>
      <c r="AE84" s="13">
        <f>IF(AD84&lt;=AT84,"库存不足",IF(AD84&gt;=AT84*1.5,"库存预警","库存正常"))</f>
        <v/>
      </c>
      <c r="AF84" s="4">
        <f>MAX(AT84-AA84-AB84,0)</f>
        <v/>
      </c>
      <c r="AG84" s="4">
        <f>MAX(X84-AD84,0)</f>
        <v/>
      </c>
      <c r="AH84" s="4">
        <f>AF84-AG84</f>
        <v/>
      </c>
      <c r="AI84" s="14">
        <f>AX84+(AA84+AB84)/AR84-60</f>
        <v/>
      </c>
      <c r="AJ84" s="4" t="n"/>
      <c r="AK84" s="15" t="n"/>
      <c r="AL84" s="15" t="n"/>
      <c r="AM84" s="15" t="n"/>
      <c r="AN84" s="15" t="n"/>
      <c r="AO84" s="4">
        <f>ROUND(AK84/7,0)</f>
        <v/>
      </c>
      <c r="AP84" s="4">
        <f>ROUND(AL84/15,0)</f>
        <v/>
      </c>
      <c r="AQ84" s="4">
        <f>ROUND(AM84/30,0)</f>
        <v/>
      </c>
      <c r="AR84" s="4" t="n"/>
      <c r="AS84" s="4" t="n"/>
      <c r="AT84" s="4">
        <f>AR84*(W84+7+30)</f>
        <v/>
      </c>
      <c r="AU84" s="4" t="n"/>
      <c r="AV84" s="4">
        <f>MAX(0,AT84-AD84-AC84)</f>
        <v/>
      </c>
      <c r="AW84" s="4" t="n"/>
      <c r="AX84" s="14">
        <f>TODAY()</f>
        <v/>
      </c>
      <c r="AY84" s="4" t="n"/>
      <c r="AZ84" s="4" t="n"/>
      <c r="BA84" s="16" t="n"/>
      <c r="BB84" s="16" t="n"/>
      <c r="BC84" s="16" t="n"/>
    </row>
    <row r="85" ht="14.25" customHeight="1" s="31">
      <c r="A85" s="4" t="n"/>
      <c r="B85" s="19" t="n"/>
      <c r="C85" s="4" t="n"/>
      <c r="D85" s="19" t="n"/>
      <c r="E85" s="19" t="n"/>
      <c r="F85" s="19" t="n"/>
      <c r="G85" s="34" t="n"/>
      <c r="H85" s="34" t="n"/>
      <c r="I85" s="34" t="n"/>
      <c r="J85" s="19">
        <f>K85*1000</f>
        <v/>
      </c>
      <c r="K85" s="19" t="n"/>
      <c r="L85" s="19" t="n"/>
      <c r="M85" s="19" t="n"/>
      <c r="N85" s="19" t="n"/>
      <c r="O85" s="19" t="n"/>
      <c r="P85" s="19" t="n"/>
      <c r="Q85" s="19">
        <f>ROUND((L85*M85*N85)/1000000,3)</f>
        <v/>
      </c>
      <c r="R85" s="19" t="n"/>
      <c r="S85" s="19" t="n"/>
      <c r="T85" s="4" t="n"/>
      <c r="U85" s="4" t="n"/>
      <c r="V85" s="19" t="n"/>
      <c r="W85" s="19" t="n"/>
      <c r="X85" s="4">
        <f>AR85*(W85+35+10)</f>
        <v/>
      </c>
      <c r="Y85" s="4">
        <f>AR85*(W85+35+10+45)</f>
        <v/>
      </c>
      <c r="Z85" s="4">
        <f>AA85+AB85+AC85</f>
        <v/>
      </c>
      <c r="AA85" s="4" t="n"/>
      <c r="AB85" s="4" t="n"/>
      <c r="AC85" s="4" t="n"/>
      <c r="AD85" s="4">
        <f>AA85+AB85</f>
        <v/>
      </c>
      <c r="AE85" s="13">
        <f>IF(AD85&lt;=AT85,"库存不足",IF(AD85&gt;=AT85*1.5,"库存预警","库存正常"))</f>
        <v/>
      </c>
      <c r="AF85" s="4">
        <f>MAX(AT85-AA85-AB85,0)</f>
        <v/>
      </c>
      <c r="AG85" s="4">
        <f>MAX(X85-AD85,0)</f>
        <v/>
      </c>
      <c r="AH85" s="4">
        <f>AF85-AG85</f>
        <v/>
      </c>
      <c r="AI85" s="14">
        <f>AX85+(AA85+AB85)/AR85-60</f>
        <v/>
      </c>
      <c r="AJ85" s="4" t="n"/>
      <c r="AK85" s="15" t="n"/>
      <c r="AL85" s="15" t="n"/>
      <c r="AM85" s="15" t="n"/>
      <c r="AN85" s="15" t="n"/>
      <c r="AO85" s="4">
        <f>ROUND(AK85/7,0)</f>
        <v/>
      </c>
      <c r="AP85" s="4">
        <f>ROUND(AL85/15,0)</f>
        <v/>
      </c>
      <c r="AQ85" s="4">
        <f>ROUND(AM85/30,0)</f>
        <v/>
      </c>
      <c r="AR85" s="4" t="n"/>
      <c r="AS85" s="4" t="n"/>
      <c r="AT85" s="4">
        <f>AR85*(W85+7+30)</f>
        <v/>
      </c>
      <c r="AU85" s="4" t="n"/>
      <c r="AV85" s="4">
        <f>MAX(0,AT85-AD85-AC85)</f>
        <v/>
      </c>
      <c r="AW85" s="4" t="n"/>
      <c r="AX85" s="14">
        <f>TODAY()</f>
        <v/>
      </c>
      <c r="AY85" s="4" t="n"/>
      <c r="AZ85" s="4" t="n"/>
      <c r="BA85" s="16" t="n"/>
      <c r="BB85" s="16" t="n"/>
      <c r="BC85" s="16" t="n"/>
    </row>
    <row r="86" ht="14.25" customHeight="1" s="31">
      <c r="A86" s="4" t="n"/>
      <c r="B86" s="19" t="n"/>
      <c r="C86" s="4" t="n"/>
      <c r="D86" s="19" t="n"/>
      <c r="E86" s="19" t="n"/>
      <c r="F86" s="19" t="n"/>
      <c r="G86" s="34" t="n"/>
      <c r="H86" s="34" t="n"/>
      <c r="I86" s="34" t="n"/>
      <c r="J86" s="19" t="n"/>
      <c r="K86" s="19" t="n"/>
      <c r="L86" s="19" t="n"/>
      <c r="M86" s="19" t="n"/>
      <c r="N86" s="19" t="n"/>
      <c r="O86" s="19" t="n"/>
      <c r="P86" s="19" t="n"/>
      <c r="Q86" s="19">
        <f>ROUND((L86*M86*N86)/1000000,3)</f>
        <v/>
      </c>
      <c r="R86" s="19" t="n"/>
      <c r="S86" s="19" t="n"/>
      <c r="T86" s="4" t="n"/>
      <c r="U86" s="4" t="n"/>
      <c r="V86" s="19" t="n"/>
      <c r="W86" s="19" t="n"/>
      <c r="X86" s="4">
        <f>AR86*(W86+35+10)</f>
        <v/>
      </c>
      <c r="Y86" s="4">
        <f>AR86*(W86+35+10+45)</f>
        <v/>
      </c>
      <c r="Z86" s="4">
        <f>AA86+AB86+AC86</f>
        <v/>
      </c>
      <c r="AA86" s="4" t="n"/>
      <c r="AB86" s="4" t="n"/>
      <c r="AC86" s="4" t="n"/>
      <c r="AD86" s="4">
        <f>AA86+AB86</f>
        <v/>
      </c>
      <c r="AE86" s="13">
        <f>IF(AD86&lt;=AT86,"库存不足",IF(AD86&gt;=AT86*1.5,"库存预警","库存正常"))</f>
        <v/>
      </c>
      <c r="AF86" s="4">
        <f>MAX(AT86-AA86-AB86,0)</f>
        <v/>
      </c>
      <c r="AG86" s="4">
        <f>MAX(X86-AD86,0)</f>
        <v/>
      </c>
      <c r="AH86" s="4">
        <f>AF86-AG86</f>
        <v/>
      </c>
      <c r="AI86" s="14">
        <f>AX86+(AA86+AB86)/AR86-60</f>
        <v/>
      </c>
      <c r="AJ86" s="4" t="n"/>
      <c r="AK86" s="15" t="n"/>
      <c r="AL86" s="15" t="n"/>
      <c r="AM86" s="15" t="n"/>
      <c r="AN86" s="15" t="n"/>
      <c r="AO86" s="4">
        <f>ROUND(AK86/7,0)</f>
        <v/>
      </c>
      <c r="AP86" s="4">
        <f>ROUND(AL86/15,0)</f>
        <v/>
      </c>
      <c r="AQ86" s="4">
        <f>ROUND(AM86/30,0)</f>
        <v/>
      </c>
      <c r="AR86" s="4" t="n"/>
      <c r="AS86" s="4" t="n"/>
      <c r="AT86" s="4">
        <f>AR86*(W86+7+30)</f>
        <v/>
      </c>
      <c r="AU86" s="4" t="n"/>
      <c r="AV86" s="4">
        <f>MAX(0,AT86-AD86-AC86)</f>
        <v/>
      </c>
      <c r="AW86" s="4" t="n"/>
      <c r="AX86" s="14">
        <f>TODAY()</f>
        <v/>
      </c>
      <c r="AY86" s="4" t="n"/>
      <c r="AZ86" s="4" t="n"/>
      <c r="BA86" s="16" t="n"/>
      <c r="BB86" s="16" t="n"/>
      <c r="BC86" s="16" t="n"/>
    </row>
    <row r="87" ht="14.25" customHeight="1" s="31">
      <c r="A87" s="4" t="n"/>
      <c r="B87" s="19" t="n"/>
      <c r="C87" s="4" t="n"/>
      <c r="D87" s="19" t="n"/>
      <c r="E87" s="19" t="n"/>
      <c r="F87" s="19" t="n"/>
      <c r="G87" s="34" t="n"/>
      <c r="H87" s="34" t="n"/>
      <c r="I87" s="34" t="n"/>
      <c r="J87" s="19">
        <f>K87*1000</f>
        <v/>
      </c>
      <c r="K87" s="19" t="n"/>
      <c r="L87" s="19" t="n"/>
      <c r="M87" s="19" t="n"/>
      <c r="N87" s="19" t="n"/>
      <c r="O87" s="19" t="n"/>
      <c r="P87" s="19" t="n"/>
      <c r="Q87" s="19">
        <f>ROUND((L87*M87*N87)/1000000,3)</f>
        <v/>
      </c>
      <c r="R87" s="19" t="n"/>
      <c r="S87" s="19" t="n"/>
      <c r="T87" s="4" t="n"/>
      <c r="U87" s="4" t="n"/>
      <c r="V87" s="19" t="n"/>
      <c r="W87" s="19" t="n"/>
      <c r="X87" s="4">
        <f>AR87*(W87+35+10)</f>
        <v/>
      </c>
      <c r="Y87" s="4">
        <f>AR87*(W87+35+10+45)</f>
        <v/>
      </c>
      <c r="Z87" s="4">
        <f>AA87+AB87+AC87</f>
        <v/>
      </c>
      <c r="AA87" s="4" t="n"/>
      <c r="AB87" s="4" t="n"/>
      <c r="AC87" s="4" t="n"/>
      <c r="AD87" s="4">
        <f>AA87+AB87</f>
        <v/>
      </c>
      <c r="AE87" s="13">
        <f>IF(AD87&lt;=AT87,"库存不足",IF(AD87&gt;=AT87*1.5,"库存预警","库存正常"))</f>
        <v/>
      </c>
      <c r="AF87" s="4">
        <f>MAX(AT87-AA87-AB87,0)</f>
        <v/>
      </c>
      <c r="AG87" s="4">
        <f>MAX(X87-AD87,0)</f>
        <v/>
      </c>
      <c r="AH87" s="4">
        <f>AF87-AG87</f>
        <v/>
      </c>
      <c r="AI87" s="14">
        <f>AX87+(AA87+AB87)/AR87-60</f>
        <v/>
      </c>
      <c r="AJ87" s="4" t="n"/>
      <c r="AK87" s="15" t="n"/>
      <c r="AL87" s="15" t="n"/>
      <c r="AM87" s="15" t="n"/>
      <c r="AN87" s="15" t="n"/>
      <c r="AO87" s="4">
        <f>ROUND(AK87/7,0)</f>
        <v/>
      </c>
      <c r="AP87" s="4">
        <f>ROUND(AL87/15,0)</f>
        <v/>
      </c>
      <c r="AQ87" s="4">
        <f>ROUND(AM87/30,0)</f>
        <v/>
      </c>
      <c r="AR87" s="4" t="n"/>
      <c r="AS87" s="4" t="n"/>
      <c r="AT87" s="4">
        <f>AR87*(W87+7+30)</f>
        <v/>
      </c>
      <c r="AU87" s="4" t="n"/>
      <c r="AV87" s="4">
        <f>MAX(0,AT87-AD87-AC87)</f>
        <v/>
      </c>
      <c r="AW87" s="4" t="n"/>
      <c r="AX87" s="14">
        <f>TODAY()</f>
        <v/>
      </c>
      <c r="AY87" s="4" t="n"/>
      <c r="AZ87" s="4" t="n"/>
      <c r="BA87" s="16" t="n"/>
      <c r="BB87" s="16" t="n"/>
      <c r="BC87" s="16" t="n"/>
    </row>
    <row r="88" ht="14.25" customHeight="1" s="31">
      <c r="A88" s="4" t="n"/>
      <c r="B88" s="19" t="n"/>
      <c r="C88" s="4" t="n"/>
      <c r="D88" s="19" t="n"/>
      <c r="E88" s="19" t="n"/>
      <c r="F88" s="19" t="n"/>
      <c r="G88" s="34" t="n"/>
      <c r="H88" s="34" t="n"/>
      <c r="I88" s="34" t="n"/>
      <c r="J88" s="19" t="n"/>
      <c r="K88" s="19" t="n"/>
      <c r="L88" s="19" t="n"/>
      <c r="M88" s="19" t="n"/>
      <c r="N88" s="19" t="n"/>
      <c r="O88" s="19" t="n"/>
      <c r="P88" s="19" t="n"/>
      <c r="Q88" s="19">
        <f>ROUND((L88*M88*N88)/1000000,3)</f>
        <v/>
      </c>
      <c r="R88" s="19" t="n"/>
      <c r="S88" s="19" t="n"/>
      <c r="T88" s="4" t="n"/>
      <c r="U88" s="4" t="n"/>
      <c r="V88" s="19" t="n"/>
      <c r="W88" s="19" t="n"/>
      <c r="X88" s="4">
        <f>AR88*(W88+35+10)</f>
        <v/>
      </c>
      <c r="Y88" s="4">
        <f>AR88*(W88+35+10+45)</f>
        <v/>
      </c>
      <c r="Z88" s="4">
        <f>AA88+AB88+AC88</f>
        <v/>
      </c>
      <c r="AA88" s="4" t="n"/>
      <c r="AB88" s="4" t="n"/>
      <c r="AC88" s="4" t="n"/>
      <c r="AD88" s="4">
        <f>AA88+AB88</f>
        <v/>
      </c>
      <c r="AE88" s="13">
        <f>IF(AD88&lt;=AT88,"库存不足",IF(AD88&gt;=AT88*1.5,"库存预警","库存正常"))</f>
        <v/>
      </c>
      <c r="AF88" s="4">
        <f>MAX(AT88-AA88-AB88,0)</f>
        <v/>
      </c>
      <c r="AG88" s="4">
        <f>MAX(X88-AD88,0)</f>
        <v/>
      </c>
      <c r="AH88" s="4">
        <f>AF88-AG88</f>
        <v/>
      </c>
      <c r="AI88" s="14">
        <f>AX88+(AA88+AB88)/AR88-60</f>
        <v/>
      </c>
      <c r="AJ88" s="4" t="n"/>
      <c r="AK88" s="15" t="n"/>
      <c r="AL88" s="15" t="n"/>
      <c r="AM88" s="15" t="n"/>
      <c r="AN88" s="15" t="n"/>
      <c r="AO88" s="4">
        <f>ROUND(AK88/7,0)</f>
        <v/>
      </c>
      <c r="AP88" s="4">
        <f>ROUND(AL88/15,0)</f>
        <v/>
      </c>
      <c r="AQ88" s="4">
        <f>ROUND(AM88/30,0)</f>
        <v/>
      </c>
      <c r="AR88" s="4" t="n"/>
      <c r="AS88" s="4" t="n"/>
      <c r="AT88" s="4">
        <f>AR88*(W88+7+30)</f>
        <v/>
      </c>
      <c r="AU88" s="4" t="n"/>
      <c r="AV88" s="4">
        <f>MAX(0,AT88-AD88-AC88)</f>
        <v/>
      </c>
      <c r="AW88" s="4" t="n"/>
      <c r="AX88" s="14">
        <f>TODAY()</f>
        <v/>
      </c>
      <c r="AY88" s="4" t="n"/>
      <c r="AZ88" s="4" t="n"/>
      <c r="BA88" s="16" t="n"/>
      <c r="BB88" s="16" t="n"/>
      <c r="BC88" s="16" t="n"/>
    </row>
    <row r="89" ht="14.25" customHeight="1" s="31">
      <c r="A89" s="4" t="n"/>
      <c r="B89" s="19" t="n"/>
      <c r="C89" s="4" t="n"/>
      <c r="D89" s="19" t="n"/>
      <c r="E89" s="19" t="n"/>
      <c r="F89" s="19" t="n"/>
      <c r="G89" s="34" t="n"/>
      <c r="H89" s="34" t="n"/>
      <c r="I89" s="34" t="n"/>
      <c r="J89" s="19" t="n"/>
      <c r="K89" s="19" t="n"/>
      <c r="L89" s="19" t="n"/>
      <c r="M89" s="19" t="n"/>
      <c r="N89" s="19" t="n"/>
      <c r="O89" s="19" t="n"/>
      <c r="P89" s="19" t="n"/>
      <c r="Q89" s="19">
        <f>ROUND((L89*M89*N89)/1000000,3)</f>
        <v/>
      </c>
      <c r="R89" s="19" t="n"/>
      <c r="S89" s="19" t="n"/>
      <c r="T89" s="4" t="n"/>
      <c r="U89" s="4" t="n"/>
      <c r="V89" s="19" t="n"/>
      <c r="W89" s="19" t="n"/>
      <c r="X89" s="4">
        <f>AR89*(W89+35+10)</f>
        <v/>
      </c>
      <c r="Y89" s="4">
        <f>AR89*(W89+35+10+45)</f>
        <v/>
      </c>
      <c r="Z89" s="4">
        <f>AA89+AB89+AC89</f>
        <v/>
      </c>
      <c r="AA89" s="4" t="n"/>
      <c r="AB89" s="4" t="n"/>
      <c r="AC89" s="4" t="n"/>
      <c r="AD89" s="4">
        <f>AA89+AB89</f>
        <v/>
      </c>
      <c r="AE89" s="13">
        <f>IF(AD89&lt;=AT89,"库存不足",IF(AD89&gt;=AT89*1.5,"库存预警","库存正常"))</f>
        <v/>
      </c>
      <c r="AF89" s="4">
        <f>MAX(AT89-AA89-AB89,0)</f>
        <v/>
      </c>
      <c r="AG89" s="4">
        <f>MAX(X89-AD89,0)</f>
        <v/>
      </c>
      <c r="AH89" s="4">
        <f>AF89-AG89</f>
        <v/>
      </c>
      <c r="AI89" s="14">
        <f>AX89+(AA89+AB89)/AR89-60</f>
        <v/>
      </c>
      <c r="AJ89" s="4" t="n"/>
      <c r="AK89" s="15" t="n"/>
      <c r="AL89" s="15" t="n"/>
      <c r="AM89" s="15" t="n"/>
      <c r="AN89" s="15" t="n"/>
      <c r="AO89" s="4">
        <f>ROUND(AK89/7,0)</f>
        <v/>
      </c>
      <c r="AP89" s="4">
        <f>ROUND(AL89/15,0)</f>
        <v/>
      </c>
      <c r="AQ89" s="4">
        <f>ROUND(AM89/30,0)</f>
        <v/>
      </c>
      <c r="AR89" s="4" t="n"/>
      <c r="AS89" s="4" t="n"/>
      <c r="AT89" s="4">
        <f>AR89*(W89+7+30)</f>
        <v/>
      </c>
      <c r="AU89" s="4" t="n"/>
      <c r="AV89" s="4">
        <f>MAX(0,AT89-AD89-AC89)</f>
        <v/>
      </c>
      <c r="AW89" s="4" t="n"/>
      <c r="AX89" s="14">
        <f>TODAY()</f>
        <v/>
      </c>
      <c r="AY89" s="4" t="n"/>
      <c r="AZ89" s="4" t="n"/>
      <c r="BA89" s="16" t="n"/>
      <c r="BB89" s="16" t="n"/>
      <c r="BC89" s="16" t="n"/>
    </row>
    <row r="90" ht="14.25" customHeight="1" s="31">
      <c r="A90" s="4" t="n"/>
      <c r="B90" s="19" t="n"/>
      <c r="C90" s="4" t="n"/>
      <c r="D90" s="19" t="n"/>
      <c r="E90" s="19" t="n"/>
      <c r="F90" s="19" t="n"/>
      <c r="G90" s="34" t="n"/>
      <c r="H90" s="34" t="n"/>
      <c r="I90" s="34" t="n"/>
      <c r="J90" s="19">
        <f>K90*1000</f>
        <v/>
      </c>
      <c r="K90" s="19" t="n"/>
      <c r="L90" s="19" t="n"/>
      <c r="M90" s="19" t="n"/>
      <c r="N90" s="19" t="n"/>
      <c r="O90" s="19" t="n"/>
      <c r="P90" s="19" t="n"/>
      <c r="Q90" s="19">
        <f>ROUND((L90*M90*N90)/1000000,3)</f>
        <v/>
      </c>
      <c r="R90" s="19" t="n"/>
      <c r="S90" s="19" t="n"/>
      <c r="T90" s="4" t="n"/>
      <c r="U90" s="4" t="n"/>
      <c r="V90" s="19" t="n"/>
      <c r="W90" s="19" t="n"/>
      <c r="X90" s="4">
        <f>AR90*(W90+35+10)</f>
        <v/>
      </c>
      <c r="Y90" s="4">
        <f>AR90*(W90+35+10+45)</f>
        <v/>
      </c>
      <c r="Z90" s="4">
        <f>AA90+AB90+AC90</f>
        <v/>
      </c>
      <c r="AA90" s="4" t="n"/>
      <c r="AB90" s="4" t="n"/>
      <c r="AC90" s="4" t="n"/>
      <c r="AD90" s="4">
        <f>AA90+AB90</f>
        <v/>
      </c>
      <c r="AE90" s="13">
        <f>IF(AD90&lt;=AT90,"库存不足",IF(AD90&gt;=AT90*1.5,"库存预警","库存正常"))</f>
        <v/>
      </c>
      <c r="AF90" s="4">
        <f>MAX(AT90-AA90-AB90,0)</f>
        <v/>
      </c>
      <c r="AG90" s="4">
        <f>MAX(X90-AD90,0)</f>
        <v/>
      </c>
      <c r="AH90" s="4">
        <f>AF90-AG90</f>
        <v/>
      </c>
      <c r="AI90" s="14">
        <f>AX90+(AA90+AB90)/AR90-60</f>
        <v/>
      </c>
      <c r="AJ90" s="4" t="n"/>
      <c r="AK90" s="15" t="n"/>
      <c r="AL90" s="15" t="n"/>
      <c r="AM90" s="15" t="n"/>
      <c r="AN90" s="15" t="n"/>
      <c r="AO90" s="4">
        <f>ROUND(AK90/7,0)</f>
        <v/>
      </c>
      <c r="AP90" s="4">
        <f>ROUND(AL90/15,0)</f>
        <v/>
      </c>
      <c r="AQ90" s="4">
        <f>ROUND(AM90/30,0)</f>
        <v/>
      </c>
      <c r="AR90" s="4" t="n"/>
      <c r="AS90" s="4" t="n"/>
      <c r="AT90" s="4">
        <f>AR90*(W90+7+30)</f>
        <v/>
      </c>
      <c r="AU90" s="4" t="n"/>
      <c r="AV90" s="4">
        <f>MAX(0,AT90-AD90-AC90)</f>
        <v/>
      </c>
      <c r="AW90" s="4" t="n"/>
      <c r="AX90" s="14">
        <f>TODAY()</f>
        <v/>
      </c>
      <c r="AY90" s="4" t="n"/>
      <c r="AZ90" s="4" t="n"/>
      <c r="BA90" s="16" t="n"/>
      <c r="BB90" s="16" t="n"/>
      <c r="BC90" s="16" t="n"/>
    </row>
    <row r="91" ht="14.25" customHeight="1" s="31">
      <c r="A91" s="4" t="n"/>
      <c r="B91" s="19" t="n"/>
      <c r="C91" s="4" t="n"/>
      <c r="D91" s="19" t="n"/>
      <c r="E91" s="19" t="n"/>
      <c r="F91" s="19" t="n"/>
      <c r="G91" s="34" t="n"/>
      <c r="H91" s="34" t="n"/>
      <c r="I91" s="34" t="n"/>
      <c r="J91" s="19" t="n"/>
      <c r="K91" s="19" t="n"/>
      <c r="L91" s="19" t="n"/>
      <c r="M91" s="19" t="n"/>
      <c r="N91" s="19" t="n"/>
      <c r="O91" s="19" t="n"/>
      <c r="P91" s="19" t="n"/>
      <c r="Q91" s="19">
        <f>ROUND((L91*M91*N91)/1000000,3)</f>
        <v/>
      </c>
      <c r="R91" s="19" t="n"/>
      <c r="S91" s="19" t="n"/>
      <c r="T91" s="4" t="n"/>
      <c r="U91" s="4" t="n"/>
      <c r="V91" s="19" t="n"/>
      <c r="W91" s="19" t="n"/>
      <c r="X91" s="4">
        <f>AR91*(W91+35+10)</f>
        <v/>
      </c>
      <c r="Y91" s="4">
        <f>AR91*(W91+35+10+45)</f>
        <v/>
      </c>
      <c r="Z91" s="4">
        <f>AA91+AB91+AC91</f>
        <v/>
      </c>
      <c r="AA91" s="4" t="n"/>
      <c r="AB91" s="4" t="n"/>
      <c r="AC91" s="4" t="n"/>
      <c r="AD91" s="4">
        <f>AA91+AB91</f>
        <v/>
      </c>
      <c r="AE91" s="13">
        <f>IF(AD91&lt;=AT91,"库存不足",IF(AD91&gt;=AT91*1.5,"库存预警","库存正常"))</f>
        <v/>
      </c>
      <c r="AF91" s="4">
        <f>MAX(AT91-AA91-AB91,0)</f>
        <v/>
      </c>
      <c r="AG91" s="4">
        <f>MAX(X91-AD91,0)</f>
        <v/>
      </c>
      <c r="AH91" s="4">
        <f>AF91-AG91</f>
        <v/>
      </c>
      <c r="AI91" s="14">
        <f>AX91+(AA91+AB91)/AR91-60</f>
        <v/>
      </c>
      <c r="AJ91" s="4" t="n"/>
      <c r="AK91" s="15" t="n"/>
      <c r="AL91" s="15" t="n"/>
      <c r="AM91" s="15" t="n"/>
      <c r="AN91" s="15" t="n"/>
      <c r="AO91" s="4">
        <f>ROUND(AK91/7,0)</f>
        <v/>
      </c>
      <c r="AP91" s="4">
        <f>ROUND(AL91/15,0)</f>
        <v/>
      </c>
      <c r="AQ91" s="4">
        <f>ROUND(AM91/30,0)</f>
        <v/>
      </c>
      <c r="AR91" s="4" t="n"/>
      <c r="AS91" s="4" t="n"/>
      <c r="AT91" s="4">
        <f>AR91*(W91+7+30)</f>
        <v/>
      </c>
      <c r="AU91" s="4" t="n"/>
      <c r="AV91" s="4">
        <f>MAX(0,AT91-AD91-AC91)</f>
        <v/>
      </c>
      <c r="AW91" s="4" t="n"/>
      <c r="AX91" s="14">
        <f>TODAY()</f>
        <v/>
      </c>
      <c r="AY91" s="4" t="n"/>
      <c r="AZ91" s="4" t="n"/>
      <c r="BA91" s="16" t="n"/>
      <c r="BB91" s="16" t="n"/>
      <c r="BC91" s="16" t="n"/>
    </row>
    <row r="92" ht="14.25" customHeight="1" s="31">
      <c r="A92" s="4" t="n"/>
      <c r="B92" s="19" t="n"/>
      <c r="C92" s="4" t="n"/>
      <c r="D92" s="19" t="n"/>
      <c r="E92" s="19" t="n"/>
      <c r="F92" s="19" t="n"/>
      <c r="G92" s="34" t="n"/>
      <c r="H92" s="34" t="n"/>
      <c r="I92" s="34" t="n"/>
      <c r="J92" s="19" t="n"/>
      <c r="K92" s="19" t="n"/>
      <c r="L92" s="19" t="n"/>
      <c r="M92" s="19" t="n"/>
      <c r="N92" s="19" t="n"/>
      <c r="O92" s="19" t="n"/>
      <c r="P92" s="19" t="n"/>
      <c r="Q92" s="19">
        <f>ROUND((L92*M92*N92)/1000000,3)</f>
        <v/>
      </c>
      <c r="R92" s="19" t="n"/>
      <c r="S92" s="19" t="n"/>
      <c r="T92" s="4" t="n"/>
      <c r="U92" s="4" t="n"/>
      <c r="V92" s="19" t="n"/>
      <c r="W92" s="19" t="n"/>
      <c r="X92" s="4">
        <f>AR92*(W92+35+10)</f>
        <v/>
      </c>
      <c r="Y92" s="4">
        <f>AR92*(W92+35+10+45)</f>
        <v/>
      </c>
      <c r="Z92" s="4">
        <f>AA92+AB92+AC92</f>
        <v/>
      </c>
      <c r="AA92" s="4" t="n"/>
      <c r="AB92" s="4" t="n"/>
      <c r="AC92" s="4" t="n"/>
      <c r="AD92" s="4">
        <f>AA92+AB92</f>
        <v/>
      </c>
      <c r="AE92" s="13">
        <f>IF(AD92&lt;=AT92,"库存不足",IF(AD92&gt;=AT92*1.5,"库存预警","库存正常"))</f>
        <v/>
      </c>
      <c r="AF92" s="4">
        <f>MAX(AT92-AA92-AB92,0)</f>
        <v/>
      </c>
      <c r="AG92" s="4">
        <f>MAX(X92-AD92,0)</f>
        <v/>
      </c>
      <c r="AH92" s="4">
        <f>AF92-AG92</f>
        <v/>
      </c>
      <c r="AI92" s="14">
        <f>AX92+(AA92+AB92)/AR92-60</f>
        <v/>
      </c>
      <c r="AJ92" s="4" t="n"/>
      <c r="AK92" s="15" t="n"/>
      <c r="AL92" s="15" t="n"/>
      <c r="AM92" s="15" t="n"/>
      <c r="AN92" s="15" t="n"/>
      <c r="AO92" s="4">
        <f>ROUND(AK92/7,0)</f>
        <v/>
      </c>
      <c r="AP92" s="4">
        <f>ROUND(AL92/15,0)</f>
        <v/>
      </c>
      <c r="AQ92" s="4">
        <f>ROUND(AM92/30,0)</f>
        <v/>
      </c>
      <c r="AR92" s="4" t="n"/>
      <c r="AS92" s="4" t="n"/>
      <c r="AT92" s="4">
        <f>AR92*(W92+7+30)</f>
        <v/>
      </c>
      <c r="AU92" s="4" t="n"/>
      <c r="AV92" s="4">
        <f>MAX(0,AT92-AD92-AC92)</f>
        <v/>
      </c>
      <c r="AW92" s="4" t="n"/>
      <c r="AX92" s="14">
        <f>TODAY()</f>
        <v/>
      </c>
      <c r="AY92" s="4" t="n"/>
      <c r="AZ92" s="4" t="n"/>
      <c r="BA92" s="16" t="n"/>
      <c r="BB92" s="16" t="n"/>
      <c r="BC92" s="16" t="n"/>
    </row>
    <row r="93" ht="14.25" customHeight="1" s="31">
      <c r="A93" s="4" t="n"/>
      <c r="B93" s="19" t="n"/>
      <c r="C93" s="4" t="n"/>
      <c r="D93" s="19" t="n"/>
      <c r="E93" s="19" t="n"/>
      <c r="F93" s="19" t="n"/>
      <c r="G93" s="34" t="n"/>
      <c r="H93" s="34" t="n"/>
      <c r="I93" s="34" t="n"/>
      <c r="J93" s="19" t="n"/>
      <c r="K93" s="19" t="n"/>
      <c r="L93" s="19" t="n"/>
      <c r="M93" s="19" t="n"/>
      <c r="N93" s="19" t="n"/>
      <c r="O93" s="19" t="n"/>
      <c r="P93" s="19" t="n"/>
      <c r="Q93" s="19">
        <f>ROUND((L93*M93*N93)/1000000,3)</f>
        <v/>
      </c>
      <c r="R93" s="19" t="n"/>
      <c r="S93" s="19" t="n"/>
      <c r="T93" s="4" t="n"/>
      <c r="U93" s="4" t="n"/>
      <c r="V93" s="19" t="n"/>
      <c r="W93" s="19" t="n"/>
      <c r="X93" s="4">
        <f>AR93*(W93+35+10)</f>
        <v/>
      </c>
      <c r="Y93" s="4">
        <f>AR93*(W93+35+10+45)</f>
        <v/>
      </c>
      <c r="Z93" s="4">
        <f>AA93+AB93+AC93</f>
        <v/>
      </c>
      <c r="AA93" s="4" t="n"/>
      <c r="AB93" s="4" t="n"/>
      <c r="AC93" s="4" t="n"/>
      <c r="AD93" s="4">
        <f>AA93+AB93</f>
        <v/>
      </c>
      <c r="AE93" s="13">
        <f>IF(AD93&lt;=AT93,"库存不足",IF(AD93&gt;=AT93*1.5,"库存预警","库存正常"))</f>
        <v/>
      </c>
      <c r="AF93" s="4">
        <f>MAX(AT93-AA93-AB93,0)</f>
        <v/>
      </c>
      <c r="AG93" s="4">
        <f>MAX(X93-AD93,0)</f>
        <v/>
      </c>
      <c r="AH93" s="4">
        <f>AF93-AG93</f>
        <v/>
      </c>
      <c r="AI93" s="14">
        <f>AX93+(AA93+AB93)/AR93-60</f>
        <v/>
      </c>
      <c r="AJ93" s="4" t="n"/>
      <c r="AK93" s="15" t="n"/>
      <c r="AL93" s="15" t="n"/>
      <c r="AM93" s="15" t="n"/>
      <c r="AN93" s="15" t="n"/>
      <c r="AO93" s="4">
        <f>ROUND(AK93/7,0)</f>
        <v/>
      </c>
      <c r="AP93" s="4">
        <f>ROUND(AL93/15,0)</f>
        <v/>
      </c>
      <c r="AQ93" s="4">
        <f>ROUND(AM93/30,0)</f>
        <v/>
      </c>
      <c r="AR93" s="4" t="n"/>
      <c r="AS93" s="4" t="n"/>
      <c r="AT93" s="4">
        <f>AR93*(W93+7+30)</f>
        <v/>
      </c>
      <c r="AU93" s="4" t="n"/>
      <c r="AV93" s="4">
        <f>MAX(0,AT93-AD93-AC93)</f>
        <v/>
      </c>
      <c r="AW93" s="4" t="n"/>
      <c r="AX93" s="14">
        <f>TODAY()</f>
        <v/>
      </c>
      <c r="AY93" s="4" t="n"/>
      <c r="AZ93" s="4" t="n"/>
      <c r="BA93" s="16" t="n"/>
      <c r="BB93" s="16" t="n"/>
      <c r="BC93" s="16" t="n"/>
    </row>
    <row r="94" ht="14.25" customHeight="1" s="31">
      <c r="A94" s="4" t="n"/>
      <c r="B94" s="19" t="n"/>
      <c r="C94" s="4" t="n"/>
      <c r="D94" s="19" t="n"/>
      <c r="E94" s="19" t="n"/>
      <c r="F94" s="19" t="n"/>
      <c r="G94" s="34" t="n"/>
      <c r="H94" s="34" t="n"/>
      <c r="I94" s="34" t="n"/>
      <c r="J94" s="19">
        <f>K94*1000</f>
        <v/>
      </c>
      <c r="K94" s="19" t="n"/>
      <c r="L94" s="19" t="n"/>
      <c r="M94" s="19" t="n"/>
      <c r="N94" s="19" t="n"/>
      <c r="O94" s="19" t="n"/>
      <c r="P94" s="19" t="n"/>
      <c r="Q94" s="19">
        <f>ROUND((L94*M94*N94)/1000000,3)</f>
        <v/>
      </c>
      <c r="R94" s="19" t="n"/>
      <c r="S94" s="19" t="n"/>
      <c r="T94" s="4" t="n"/>
      <c r="U94" s="4" t="n"/>
      <c r="V94" s="19" t="n"/>
      <c r="W94" s="19" t="n"/>
      <c r="X94" s="4">
        <f>AR94*(W94+35+10)</f>
        <v/>
      </c>
      <c r="Y94" s="4">
        <f>AR94*(W94+35+10+45)</f>
        <v/>
      </c>
      <c r="Z94" s="4">
        <f>AA94+AB94+AC94</f>
        <v/>
      </c>
      <c r="AA94" s="4" t="n"/>
      <c r="AB94" s="4" t="n"/>
      <c r="AC94" s="4" t="n"/>
      <c r="AD94" s="4">
        <f>AA94+AB94</f>
        <v/>
      </c>
      <c r="AE94" s="13">
        <f>IF(AD94&lt;=AT94,"库存不足",IF(AD94&gt;=AT94*1.5,"库存预警","库存正常"))</f>
        <v/>
      </c>
      <c r="AF94" s="4">
        <f>MAX(AT94-AA94-AB94,0)</f>
        <v/>
      </c>
      <c r="AG94" s="4">
        <f>MAX(X94-AD94,0)</f>
        <v/>
      </c>
      <c r="AH94" s="4">
        <f>AF94-AG94</f>
        <v/>
      </c>
      <c r="AI94" s="14">
        <f>AX94+(AA94+AB94)/AR94-60</f>
        <v/>
      </c>
      <c r="AJ94" s="4" t="n"/>
      <c r="AK94" s="4" t="n"/>
      <c r="AL94" s="4" t="n"/>
      <c r="AM94" s="4" t="n"/>
      <c r="AN94" s="4">
        <f>ROUND(AJ94/3,0)</f>
        <v/>
      </c>
      <c r="AO94" s="4">
        <f>ROUND(AK94/7,0)</f>
        <v/>
      </c>
      <c r="AP94" s="4">
        <f>ROUND(AL94/15,0)</f>
        <v/>
      </c>
      <c r="AQ94" s="4">
        <f>ROUND(AM94/30,0)</f>
        <v/>
      </c>
      <c r="AR94" s="4" t="n"/>
      <c r="AS94" s="4" t="n"/>
      <c r="AT94" s="4">
        <f>AR94*(W94+7+30)</f>
        <v/>
      </c>
      <c r="AU94" s="4" t="n"/>
      <c r="AV94" s="4">
        <f>MAX(0,AT94-AD94-AC94)</f>
        <v/>
      </c>
      <c r="AW94" s="4" t="n"/>
      <c r="AX94" s="14">
        <f>TODAY()</f>
        <v/>
      </c>
      <c r="AY94" s="4" t="n"/>
      <c r="AZ94" s="4" t="n"/>
      <c r="BA94" s="16" t="n"/>
      <c r="BB94" s="16" t="n"/>
      <c r="BC94" s="16" t="n"/>
    </row>
    <row r="95" ht="14.25" customHeight="1" s="31">
      <c r="A95" s="4" t="n"/>
      <c r="B95" s="19" t="n"/>
      <c r="C95" s="4" t="n"/>
      <c r="D95" s="19" t="n"/>
      <c r="E95" s="19" t="n"/>
      <c r="F95" s="19" t="n"/>
      <c r="G95" s="34" t="n"/>
      <c r="H95" s="34" t="n"/>
      <c r="I95" s="34" t="n"/>
      <c r="J95" s="19">
        <f>K95*1000</f>
        <v/>
      </c>
      <c r="K95" s="19" t="n"/>
      <c r="L95" s="19" t="n"/>
      <c r="M95" s="19" t="n"/>
      <c r="N95" s="19" t="n"/>
      <c r="O95" s="19" t="n"/>
      <c r="P95" s="19" t="n"/>
      <c r="Q95" s="19">
        <f>ROUND((L95*M95*N95)/1000000,3)</f>
        <v/>
      </c>
      <c r="R95" s="19" t="n"/>
      <c r="S95" s="19" t="n"/>
      <c r="T95" s="4" t="n"/>
      <c r="U95" s="4" t="n"/>
      <c r="V95" s="19" t="n"/>
      <c r="W95" s="19" t="n"/>
      <c r="X95" s="4">
        <f>AR95*(W95+35+10)</f>
        <v/>
      </c>
      <c r="Y95" s="4">
        <f>AR95*(W95+35+10+45)</f>
        <v/>
      </c>
      <c r="Z95" s="4">
        <f>AA95+AB95+AC95</f>
        <v/>
      </c>
      <c r="AA95" s="4" t="n"/>
      <c r="AB95" s="4" t="n"/>
      <c r="AC95" s="4" t="n"/>
      <c r="AD95" s="4">
        <f>AA95+AB95</f>
        <v/>
      </c>
      <c r="AE95" s="13">
        <f>IF(AD95&lt;=AT95,"库存不足",IF(AD95&gt;=AT95*1.5,"库存预警","库存正常"))</f>
        <v/>
      </c>
      <c r="AF95" s="4">
        <f>MAX(AT95-AA95-AB95,0)</f>
        <v/>
      </c>
      <c r="AG95" s="4">
        <f>MAX(X95-AD95,0)</f>
        <v/>
      </c>
      <c r="AH95" s="4">
        <f>AF95-AG95</f>
        <v/>
      </c>
      <c r="AI95" s="14">
        <f>AX95+(AA95+AB95)/AR95-60</f>
        <v/>
      </c>
      <c r="AJ95" s="4" t="n"/>
      <c r="AK95" s="15" t="n"/>
      <c r="AL95" s="15" t="n"/>
      <c r="AM95" s="15" t="n"/>
      <c r="AN95" s="15" t="n"/>
      <c r="AO95" s="4">
        <f>ROUND(AK95/7,0)</f>
        <v/>
      </c>
      <c r="AP95" s="4">
        <f>ROUND(AL95/15,0)</f>
        <v/>
      </c>
      <c r="AQ95" s="4">
        <f>ROUND(AM95/30,0)</f>
        <v/>
      </c>
      <c r="AR95" s="4" t="n"/>
      <c r="AS95" s="4" t="n"/>
      <c r="AT95" s="4">
        <f>AR95*(W95+7+30)</f>
        <v/>
      </c>
      <c r="AU95" s="4" t="n"/>
      <c r="AV95" s="4">
        <f>MAX(0,AT95-AD95-AC95)</f>
        <v/>
      </c>
      <c r="AW95" s="4" t="n"/>
      <c r="AX95" s="14">
        <f>TODAY()</f>
        <v/>
      </c>
      <c r="AY95" s="4" t="n"/>
      <c r="AZ95" s="4" t="n"/>
      <c r="BA95" s="16" t="n"/>
      <c r="BB95" s="16" t="n"/>
      <c r="BC95" s="16" t="n"/>
    </row>
    <row r="96" ht="14.25" customHeight="1" s="31">
      <c r="A96" s="4" t="n"/>
      <c r="B96" s="19" t="n"/>
      <c r="C96" s="4" t="n"/>
      <c r="D96" s="19" t="n"/>
      <c r="E96" s="19" t="n"/>
      <c r="F96" s="19" t="n"/>
      <c r="G96" s="34" t="n"/>
      <c r="H96" s="34" t="n"/>
      <c r="I96" s="34" t="n"/>
      <c r="J96" s="19">
        <f>K96*1000</f>
        <v/>
      </c>
      <c r="K96" s="19" t="n"/>
      <c r="L96" s="19" t="n"/>
      <c r="M96" s="19" t="n"/>
      <c r="N96" s="19" t="n"/>
      <c r="O96" s="19" t="n"/>
      <c r="P96" s="19" t="n"/>
      <c r="Q96" s="19">
        <f>ROUND((L96*M96*N96)/1000000,3)</f>
        <v/>
      </c>
      <c r="R96" s="19" t="n"/>
      <c r="S96" s="19" t="n"/>
      <c r="T96" s="4" t="n"/>
      <c r="U96" s="4" t="n"/>
      <c r="V96" s="19" t="n"/>
      <c r="W96" s="19" t="n"/>
      <c r="X96" s="4">
        <f>AR96*(W96+35+10)</f>
        <v/>
      </c>
      <c r="Y96" s="4">
        <f>AR96*(W96+35+10+45)</f>
        <v/>
      </c>
      <c r="Z96" s="4">
        <f>AA96+AB96+AC96</f>
        <v/>
      </c>
      <c r="AA96" s="4" t="n"/>
      <c r="AB96" s="4" t="n"/>
      <c r="AC96" s="4" t="n"/>
      <c r="AD96" s="4">
        <f>AA96+AB96</f>
        <v/>
      </c>
      <c r="AE96" s="13">
        <f>IF(AD96&lt;=AT96,"库存不足",IF(AD96&gt;=AT96*1.5,"库存预警","库存正常"))</f>
        <v/>
      </c>
      <c r="AF96" s="4">
        <f>MAX(AT96-AA96-AB96,0)</f>
        <v/>
      </c>
      <c r="AG96" s="4">
        <f>MAX(X96-AD96,0)</f>
        <v/>
      </c>
      <c r="AH96" s="4">
        <f>AF96-AG96</f>
        <v/>
      </c>
      <c r="AI96" s="14">
        <f>AX96+(AA96+AB96)/AR96-60</f>
        <v/>
      </c>
      <c r="AJ96" s="4" t="n"/>
      <c r="AK96" s="15" t="n"/>
      <c r="AL96" s="15" t="n"/>
      <c r="AM96" s="15" t="n"/>
      <c r="AN96" s="15" t="n"/>
      <c r="AO96" s="4">
        <f>ROUND(AK96/7,0)</f>
        <v/>
      </c>
      <c r="AP96" s="4">
        <f>ROUND(AL96/15,0)</f>
        <v/>
      </c>
      <c r="AQ96" s="4">
        <f>ROUND(AM96/30,0)</f>
        <v/>
      </c>
      <c r="AR96" s="4" t="n"/>
      <c r="AS96" s="4" t="n"/>
      <c r="AT96" s="4">
        <f>AR96*(W96+7+30)</f>
        <v/>
      </c>
      <c r="AU96" s="4" t="n"/>
      <c r="AV96" s="4">
        <f>MAX(0,AT96-AD96-AC96)</f>
        <v/>
      </c>
      <c r="AW96" s="4" t="n"/>
      <c r="AX96" s="14">
        <f>TODAY()</f>
        <v/>
      </c>
      <c r="AY96" s="4" t="n"/>
      <c r="AZ96" s="4" t="n"/>
      <c r="BA96" s="16" t="n"/>
      <c r="BB96" s="16" t="n"/>
      <c r="BC96" s="16" t="n"/>
    </row>
    <row r="97" ht="14.25" customHeight="1" s="31">
      <c r="A97" s="4" t="n"/>
      <c r="B97" s="19" t="n"/>
      <c r="C97" s="4" t="n"/>
      <c r="D97" s="19" t="n"/>
      <c r="E97" s="19" t="n"/>
      <c r="F97" s="19" t="n"/>
      <c r="G97" s="34" t="n"/>
      <c r="H97" s="34" t="n"/>
      <c r="I97" s="34" t="n"/>
      <c r="J97" s="19">
        <f>K97*1000</f>
        <v/>
      </c>
      <c r="K97" s="19" t="n"/>
      <c r="L97" s="19" t="n"/>
      <c r="M97" s="19" t="n"/>
      <c r="N97" s="19" t="n"/>
      <c r="O97" s="19" t="n"/>
      <c r="P97" s="19" t="n"/>
      <c r="Q97" s="19">
        <f>ROUND((L97*M97*N97)/1000000,3)</f>
        <v/>
      </c>
      <c r="R97" s="19" t="n"/>
      <c r="S97" s="19" t="n"/>
      <c r="T97" s="4" t="n"/>
      <c r="U97" s="4" t="n"/>
      <c r="V97" s="19" t="n"/>
      <c r="W97" s="19" t="n"/>
      <c r="X97" s="4">
        <f>AR97*(W97+35+10)</f>
        <v/>
      </c>
      <c r="Y97" s="4">
        <f>AR97*(W97+35+10+45)</f>
        <v/>
      </c>
      <c r="Z97" s="4">
        <f>AA97+AB97+AC97</f>
        <v/>
      </c>
      <c r="AA97" s="4" t="n"/>
      <c r="AB97" s="4" t="n"/>
      <c r="AC97" s="4" t="n"/>
      <c r="AD97" s="4">
        <f>AA97+AB97</f>
        <v/>
      </c>
      <c r="AE97" s="13">
        <f>IF(AD97&lt;=AT97,"库存不足",IF(AD97&gt;=AT97*1.5,"库存预警","库存正常"))</f>
        <v/>
      </c>
      <c r="AF97" s="4">
        <f>MAX(AT97-AA97-AB97,0)</f>
        <v/>
      </c>
      <c r="AG97" s="4">
        <f>MAX(X97-AD97,0)</f>
        <v/>
      </c>
      <c r="AH97" s="4">
        <f>AF97-AG97</f>
        <v/>
      </c>
      <c r="AI97" s="14">
        <f>AX97+(AA97+AB97)/AR97-60</f>
        <v/>
      </c>
      <c r="AJ97" s="4" t="n"/>
      <c r="AK97" s="15" t="n"/>
      <c r="AL97" s="15" t="n"/>
      <c r="AM97" s="15" t="n"/>
      <c r="AN97" s="15" t="n"/>
      <c r="AO97" s="4">
        <f>ROUND(AK97/7,0)</f>
        <v/>
      </c>
      <c r="AP97" s="4">
        <f>ROUND(AL97/15,0)</f>
        <v/>
      </c>
      <c r="AQ97" s="4">
        <f>ROUND(AM97/30,0)</f>
        <v/>
      </c>
      <c r="AR97" s="4" t="n"/>
      <c r="AS97" s="4" t="n"/>
      <c r="AT97" s="4">
        <f>AR97*(W97+7+30)</f>
        <v/>
      </c>
      <c r="AU97" s="4" t="n"/>
      <c r="AV97" s="4">
        <f>MAX(0,AT97-AD97-AC97)</f>
        <v/>
      </c>
      <c r="AW97" s="4" t="n"/>
      <c r="AX97" s="14">
        <f>TODAY()</f>
        <v/>
      </c>
      <c r="AY97" s="4" t="n"/>
      <c r="AZ97" s="4" t="n"/>
      <c r="BA97" s="16" t="n"/>
      <c r="BB97" s="16" t="n"/>
      <c r="BC97" s="16" t="n"/>
    </row>
    <row r="98" ht="14.25" customHeight="1" s="31">
      <c r="A98" s="4" t="n"/>
      <c r="B98" s="19" t="n"/>
      <c r="C98" s="4" t="n"/>
      <c r="D98" s="19" t="n"/>
      <c r="E98" s="19" t="n"/>
      <c r="F98" s="19" t="n"/>
      <c r="G98" s="34" t="n"/>
      <c r="H98" s="34" t="n"/>
      <c r="I98" s="34" t="n"/>
      <c r="J98" s="19">
        <f>K98*1000</f>
        <v/>
      </c>
      <c r="K98" s="19" t="n"/>
      <c r="L98" s="19" t="n"/>
      <c r="M98" s="19" t="n"/>
      <c r="N98" s="19" t="n"/>
      <c r="O98" s="19" t="n"/>
      <c r="P98" s="19" t="n"/>
      <c r="Q98" s="19">
        <f>ROUND((L98*M98*N98)/1000000,3)</f>
        <v/>
      </c>
      <c r="R98" s="19" t="n"/>
      <c r="S98" s="19" t="n"/>
      <c r="T98" s="4" t="n"/>
      <c r="U98" s="4" t="n"/>
      <c r="V98" s="19" t="n"/>
      <c r="W98" s="19" t="n"/>
      <c r="X98" s="4">
        <f>AR98*(W98+35+10)</f>
        <v/>
      </c>
      <c r="Y98" s="4">
        <f>AR98*(W98+35+10+45)</f>
        <v/>
      </c>
      <c r="Z98" s="4">
        <f>AA98+AB98+AC98</f>
        <v/>
      </c>
      <c r="AA98" s="4" t="n"/>
      <c r="AB98" s="4" t="n"/>
      <c r="AC98" s="4" t="n"/>
      <c r="AD98" s="4">
        <f>AA98+AB98</f>
        <v/>
      </c>
      <c r="AE98" s="13">
        <f>IF(AD98&lt;=AT98,"库存不足",IF(AD98&gt;=AT98*1.5,"库存预警","库存正常"))</f>
        <v/>
      </c>
      <c r="AF98" s="4">
        <f>MAX(AT98-AA98-AB98,0)</f>
        <v/>
      </c>
      <c r="AG98" s="4">
        <f>MAX(X98-AD98,0)</f>
        <v/>
      </c>
      <c r="AH98" s="4">
        <f>AF98-AG98</f>
        <v/>
      </c>
      <c r="AI98" s="14">
        <f>AX98+(AA98+AB98)/AR98-60</f>
        <v/>
      </c>
      <c r="AJ98" s="4" t="n"/>
      <c r="AK98" s="15" t="n"/>
      <c r="AL98" s="15" t="n"/>
      <c r="AM98" s="15" t="n"/>
      <c r="AN98" s="15" t="n"/>
      <c r="AO98" s="4">
        <f>ROUND(AK98/7,0)</f>
        <v/>
      </c>
      <c r="AP98" s="4">
        <f>ROUND(AL98/15,0)</f>
        <v/>
      </c>
      <c r="AQ98" s="4">
        <f>ROUND(AM98/30,0)</f>
        <v/>
      </c>
      <c r="AR98" s="4" t="n"/>
      <c r="AS98" s="4" t="n"/>
      <c r="AT98" s="4">
        <f>AR98*(W98+7+30)</f>
        <v/>
      </c>
      <c r="AU98" s="4" t="n"/>
      <c r="AV98" s="4">
        <f>MAX(0,AT98-AD98-AC98)</f>
        <v/>
      </c>
      <c r="AW98" s="4" t="n"/>
      <c r="AX98" s="14">
        <f>TODAY()</f>
        <v/>
      </c>
      <c r="AY98" s="4" t="n"/>
      <c r="AZ98" s="4" t="n"/>
      <c r="BA98" s="16" t="n"/>
      <c r="BB98" s="16" t="n"/>
      <c r="BC98" s="16" t="n"/>
    </row>
    <row r="99" ht="14.25" customHeight="1" s="31">
      <c r="A99" s="4" t="n"/>
      <c r="B99" s="19" t="n"/>
      <c r="C99" s="4" t="n"/>
      <c r="D99" s="19" t="n"/>
      <c r="E99" s="19" t="n"/>
      <c r="F99" s="19" t="n"/>
      <c r="G99" s="34" t="n"/>
      <c r="H99" s="34" t="n"/>
      <c r="I99" s="34" t="n"/>
      <c r="J99" s="19">
        <f>K99*1000</f>
        <v/>
      </c>
      <c r="K99" s="19" t="n"/>
      <c r="L99" s="19" t="n"/>
      <c r="M99" s="19" t="n"/>
      <c r="N99" s="19" t="n"/>
      <c r="O99" s="19" t="n"/>
      <c r="P99" s="19" t="n"/>
      <c r="Q99" s="19">
        <f>ROUND((L99*M99*N99)/1000000,3)</f>
        <v/>
      </c>
      <c r="R99" s="19" t="n"/>
      <c r="S99" s="19" t="n"/>
      <c r="T99" s="4" t="n"/>
      <c r="U99" s="4" t="n"/>
      <c r="V99" s="19" t="n"/>
      <c r="W99" s="19" t="n"/>
      <c r="X99" s="4">
        <f>AR99*(W99+35+10)</f>
        <v/>
      </c>
      <c r="Y99" s="4">
        <f>AR99*(W99+35+10+45)</f>
        <v/>
      </c>
      <c r="Z99" s="4">
        <f>AA99+AB99+AC99</f>
        <v/>
      </c>
      <c r="AA99" s="4" t="n"/>
      <c r="AB99" s="4" t="n"/>
      <c r="AC99" s="4" t="n"/>
      <c r="AD99" s="4">
        <f>AA99+AB99</f>
        <v/>
      </c>
      <c r="AE99" s="13">
        <f>IF(AD99&lt;=AT99,"库存不足",IF(AD99&gt;=AT99*1.5,"库存预警","库存正常"))</f>
        <v/>
      </c>
      <c r="AF99" s="4">
        <f>MAX(AT99-AA99-AB99,0)</f>
        <v/>
      </c>
      <c r="AG99" s="4">
        <f>MAX(X99-AD99,0)</f>
        <v/>
      </c>
      <c r="AH99" s="4">
        <f>AF99-AG99</f>
        <v/>
      </c>
      <c r="AI99" s="14">
        <f>AX99+(AA99+AB99)/AR99-60</f>
        <v/>
      </c>
      <c r="AJ99" s="4" t="n"/>
      <c r="AK99" s="15" t="n"/>
      <c r="AL99" s="15" t="n"/>
      <c r="AM99" s="15" t="n"/>
      <c r="AN99" s="15" t="n"/>
      <c r="AO99" s="4">
        <f>ROUND(AK99/7,0)</f>
        <v/>
      </c>
      <c r="AP99" s="4">
        <f>ROUND(AL99/15,0)</f>
        <v/>
      </c>
      <c r="AQ99" s="4">
        <f>ROUND(AM99/30,0)</f>
        <v/>
      </c>
      <c r="AR99" s="4" t="n"/>
      <c r="AS99" s="4" t="n"/>
      <c r="AT99" s="4">
        <f>AR99*(W99+7+30)</f>
        <v/>
      </c>
      <c r="AU99" s="4" t="n"/>
      <c r="AV99" s="4">
        <f>MAX(0,AT99-AD99-AC99)</f>
        <v/>
      </c>
      <c r="AW99" s="4" t="n"/>
      <c r="AX99" s="14">
        <f>TODAY()</f>
        <v/>
      </c>
      <c r="AY99" s="4" t="n"/>
      <c r="AZ99" s="4" t="n"/>
      <c r="BA99" s="16" t="n"/>
      <c r="BB99" s="16" t="n"/>
      <c r="BC99" s="16" t="n"/>
    </row>
    <row r="100" ht="14.25" customHeight="1" s="31">
      <c r="A100" s="4" t="n"/>
      <c r="B100" s="19" t="n"/>
      <c r="C100" s="4" t="n"/>
      <c r="D100" s="19" t="n"/>
      <c r="E100" s="19" t="n"/>
      <c r="F100" s="19" t="n"/>
      <c r="G100" s="34" t="n"/>
      <c r="H100" s="34" t="n"/>
      <c r="I100" s="34" t="n"/>
      <c r="J100" s="19">
        <f>K100*1000</f>
        <v/>
      </c>
      <c r="K100" s="19" t="n"/>
      <c r="L100" s="19" t="n"/>
      <c r="M100" s="19" t="n"/>
      <c r="N100" s="19" t="n"/>
      <c r="O100" s="19" t="n"/>
      <c r="P100" s="19" t="n"/>
      <c r="Q100" s="19">
        <f>ROUND((L100*M100*N100)/1000000,3)</f>
        <v/>
      </c>
      <c r="R100" s="19" t="n"/>
      <c r="S100" s="19" t="n"/>
      <c r="T100" s="4" t="n"/>
      <c r="U100" s="4" t="n"/>
      <c r="V100" s="19" t="n"/>
      <c r="W100" s="19" t="n"/>
      <c r="X100" s="4">
        <f>AR100*(W100+35+10)</f>
        <v/>
      </c>
      <c r="Y100" s="4">
        <f>AR100*(W100+35+10+45)</f>
        <v/>
      </c>
      <c r="Z100" s="4">
        <f>AA100+AB100+AC100</f>
        <v/>
      </c>
      <c r="AA100" s="4" t="n"/>
      <c r="AB100" s="4" t="n"/>
      <c r="AC100" s="4" t="n"/>
      <c r="AD100" s="4">
        <f>AA100+AB100</f>
        <v/>
      </c>
      <c r="AE100" s="13">
        <f>IF(AD100&lt;=AT100,"库存不足",IF(AD100&gt;=AT100*1.5,"库存预警","库存正常"))</f>
        <v/>
      </c>
      <c r="AF100" s="4">
        <f>MAX(AT100-AA100-AB100,0)</f>
        <v/>
      </c>
      <c r="AG100" s="4">
        <f>MAX(X100-AD100,0)</f>
        <v/>
      </c>
      <c r="AH100" s="4">
        <f>AF100-AG100</f>
        <v/>
      </c>
      <c r="AI100" s="14">
        <f>AX100+(AA100+AB100)/AR100-60</f>
        <v/>
      </c>
      <c r="AJ100" s="4" t="n"/>
      <c r="AK100" s="15" t="n"/>
      <c r="AL100" s="15" t="n"/>
      <c r="AM100" s="15" t="n"/>
      <c r="AN100" s="15" t="n"/>
      <c r="AO100" s="4">
        <f>ROUND(AK100/7,0)</f>
        <v/>
      </c>
      <c r="AP100" s="4">
        <f>ROUND(AL100/15,0)</f>
        <v/>
      </c>
      <c r="AQ100" s="4">
        <f>ROUND(AM100/30,0)</f>
        <v/>
      </c>
      <c r="AR100" s="4" t="n"/>
      <c r="AS100" s="4" t="n"/>
      <c r="AT100" s="4">
        <f>AR100*(W100+7+30)</f>
        <v/>
      </c>
      <c r="AU100" s="4" t="n"/>
      <c r="AV100" s="4">
        <f>MAX(0,AT100-AD100-AC100)</f>
        <v/>
      </c>
      <c r="AW100" s="4" t="n"/>
      <c r="AX100" s="14">
        <f>TODAY()</f>
        <v/>
      </c>
      <c r="AY100" s="4" t="n"/>
      <c r="AZ100" s="4" t="n"/>
      <c r="BA100" s="16" t="n"/>
      <c r="BB100" s="16" t="n"/>
      <c r="BC100" s="16" t="n"/>
    </row>
    <row r="101" ht="14.25" customHeight="1" s="31">
      <c r="A101" s="4" t="n"/>
      <c r="B101" s="19" t="n"/>
      <c r="C101" s="4" t="n"/>
      <c r="D101" s="19" t="n"/>
      <c r="E101" s="19" t="n"/>
      <c r="F101" s="19" t="n"/>
      <c r="G101" s="34" t="n"/>
      <c r="H101" s="34" t="n"/>
      <c r="I101" s="34" t="n"/>
      <c r="J101" s="19" t="n"/>
      <c r="K101" s="19" t="n"/>
      <c r="L101" s="19" t="n"/>
      <c r="M101" s="19" t="n"/>
      <c r="N101" s="19" t="n"/>
      <c r="O101" s="19" t="n"/>
      <c r="P101" s="19" t="n"/>
      <c r="Q101" s="19">
        <f>ROUND((L101*M101*N101)/1000000,3)</f>
        <v/>
      </c>
      <c r="R101" s="19" t="n"/>
      <c r="S101" s="19" t="n"/>
      <c r="T101" s="4" t="n"/>
      <c r="U101" s="4" t="n"/>
      <c r="V101" s="19" t="n"/>
      <c r="W101" s="19" t="n"/>
      <c r="X101" s="4">
        <f>AR101*(W101+35+10)</f>
        <v/>
      </c>
      <c r="Y101" s="4">
        <f>AR101*(W101+35+10+45)</f>
        <v/>
      </c>
      <c r="Z101" s="4">
        <f>AA101+AB101+AC101</f>
        <v/>
      </c>
      <c r="AA101" s="4" t="n"/>
      <c r="AB101" s="4" t="n"/>
      <c r="AC101" s="4" t="n"/>
      <c r="AD101" s="4">
        <f>AA101+AB101</f>
        <v/>
      </c>
      <c r="AE101" s="13">
        <f>IF(AD101&lt;=AT101,"库存不足",IF(AD101&gt;=AT101*1.5,"库存预警","库存正常"))</f>
        <v/>
      </c>
      <c r="AF101" s="4">
        <f>MAX(AT101-AA101-AB101,0)</f>
        <v/>
      </c>
      <c r="AG101" s="4">
        <f>MAX(X101-AD101,0)</f>
        <v/>
      </c>
      <c r="AH101" s="4">
        <f>AF101-AG101</f>
        <v/>
      </c>
      <c r="AI101" s="14">
        <f>AX101+(AA101+AB101)/AR101-60</f>
        <v/>
      </c>
      <c r="AJ101" s="4" t="n"/>
      <c r="AK101" s="15" t="n"/>
      <c r="AL101" s="15" t="n"/>
      <c r="AM101" s="15" t="n"/>
      <c r="AN101" s="15" t="n"/>
      <c r="AO101" s="4">
        <f>ROUND(AK101/7,0)</f>
        <v/>
      </c>
      <c r="AP101" s="4">
        <f>ROUND(AL101/15,0)</f>
        <v/>
      </c>
      <c r="AQ101" s="4">
        <f>ROUND(AM101/30,0)</f>
        <v/>
      </c>
      <c r="AR101" s="4" t="n"/>
      <c r="AS101" s="4" t="n"/>
      <c r="AT101" s="4">
        <f>AR101*(W101+7+30)</f>
        <v/>
      </c>
      <c r="AU101" s="4" t="n"/>
      <c r="AV101" s="4">
        <f>MAX(0,AT101-AD101-AC101)</f>
        <v/>
      </c>
      <c r="AW101" s="4" t="n"/>
      <c r="AX101" s="14">
        <f>TODAY()</f>
        <v/>
      </c>
      <c r="AY101" s="4" t="n"/>
      <c r="AZ101" s="4" t="n"/>
      <c r="BA101" s="16" t="n"/>
      <c r="BB101" s="16" t="n"/>
      <c r="BC101" s="16" t="n"/>
    </row>
    <row r="102" ht="14.25" customHeight="1" s="31">
      <c r="A102" s="4" t="n"/>
      <c r="B102" s="19" t="n"/>
      <c r="C102" s="4" t="n"/>
      <c r="D102" s="19" t="n"/>
      <c r="E102" s="19" t="n"/>
      <c r="F102" s="19" t="n"/>
      <c r="G102" s="34" t="n"/>
      <c r="H102" s="34" t="n"/>
      <c r="I102" s="34" t="n"/>
      <c r="J102" s="19">
        <f>K102*1000</f>
        <v/>
      </c>
      <c r="K102" s="19" t="n"/>
      <c r="L102" s="19" t="n"/>
      <c r="M102" s="19" t="n"/>
      <c r="N102" s="19" t="n"/>
      <c r="O102" s="19" t="n"/>
      <c r="P102" s="34" t="n"/>
      <c r="Q102" s="19">
        <f>ROUND((L102*M102*N102)/1000000,3)</f>
        <v/>
      </c>
      <c r="R102" s="19" t="n"/>
      <c r="S102" s="19" t="n"/>
      <c r="T102" s="4" t="n"/>
      <c r="U102" s="4" t="n"/>
      <c r="V102" s="19" t="n"/>
      <c r="W102" s="19" t="n"/>
      <c r="X102" s="4">
        <f>AR102*(W102+35+10)</f>
        <v/>
      </c>
      <c r="Y102" s="4">
        <f>AR102*(W102+35+10+45)</f>
        <v/>
      </c>
      <c r="Z102" s="4">
        <f>AA102+AB102+AC102</f>
        <v/>
      </c>
      <c r="AA102" s="4" t="n"/>
      <c r="AB102" s="4" t="n"/>
      <c r="AC102" s="4" t="n"/>
      <c r="AD102" s="4">
        <f>AA102+AB102</f>
        <v/>
      </c>
      <c r="AE102" s="13">
        <f>IF(AD102&lt;=AT102,"库存不足",IF(AD102&gt;=AT102*1.5,"库存预警","库存正常"))</f>
        <v/>
      </c>
      <c r="AF102" s="4">
        <f>MAX(AT102-AA102-AB102,0)</f>
        <v/>
      </c>
      <c r="AG102" s="4">
        <f>MAX(X102-AD102,0)</f>
        <v/>
      </c>
      <c r="AH102" s="4">
        <f>AF102-AG102</f>
        <v/>
      </c>
      <c r="AI102" s="14">
        <f>AX102+(AA102+AB102)/AR102-60</f>
        <v/>
      </c>
      <c r="AJ102" s="4" t="n"/>
      <c r="AK102" s="15" t="n"/>
      <c r="AL102" s="15" t="n"/>
      <c r="AM102" s="15" t="n"/>
      <c r="AN102" s="15" t="n"/>
      <c r="AO102" s="4">
        <f>ROUND(AK102/7,0)</f>
        <v/>
      </c>
      <c r="AP102" s="4">
        <f>ROUND(AL102/15,0)</f>
        <v/>
      </c>
      <c r="AQ102" s="4">
        <f>ROUND(AM102/30,0)</f>
        <v/>
      </c>
      <c r="AR102" s="4" t="n"/>
      <c r="AS102" s="4" t="n"/>
      <c r="AT102" s="4">
        <f>AR102*(W102+7+30)</f>
        <v/>
      </c>
      <c r="AU102" s="4" t="n"/>
      <c r="AV102" s="4">
        <f>MAX(0,AT102-AD102-AC102)</f>
        <v/>
      </c>
      <c r="AW102" s="4" t="n"/>
      <c r="AX102" s="14">
        <f>TODAY()</f>
        <v/>
      </c>
      <c r="AY102" s="4" t="n"/>
      <c r="AZ102" s="4" t="n"/>
      <c r="BA102" s="16" t="n"/>
      <c r="BB102" s="16" t="n"/>
      <c r="BC102" s="16" t="n"/>
    </row>
    <row r="103" ht="14.25" customHeight="1" s="31">
      <c r="A103" s="4" t="n"/>
      <c r="B103" s="19" t="n"/>
      <c r="C103" s="4" t="n"/>
      <c r="D103" s="19" t="n"/>
      <c r="E103" s="19" t="n"/>
      <c r="F103" s="19" t="n"/>
      <c r="G103" s="34" t="n"/>
      <c r="H103" s="34" t="n"/>
      <c r="I103" s="34" t="n"/>
      <c r="J103" s="19">
        <f>K103*1000</f>
        <v/>
      </c>
      <c r="K103" s="19" t="n"/>
      <c r="L103" s="19" t="n"/>
      <c r="M103" s="19" t="n"/>
      <c r="N103" s="19" t="n"/>
      <c r="O103" s="19" t="n"/>
      <c r="P103" s="34" t="n"/>
      <c r="Q103" s="19">
        <f>ROUND((L103*M103*N103)/1000000,3)</f>
        <v/>
      </c>
      <c r="R103" s="19" t="n"/>
      <c r="S103" s="19" t="n"/>
      <c r="T103" s="4" t="n"/>
      <c r="U103" s="4" t="n"/>
      <c r="V103" s="19" t="n"/>
      <c r="W103" s="19" t="n"/>
      <c r="X103" s="4">
        <f>AR103*(W103+35+10)</f>
        <v/>
      </c>
      <c r="Y103" s="4">
        <f>AR103*(W103+35+10+45)</f>
        <v/>
      </c>
      <c r="Z103" s="4">
        <f>AA103+AB103+AC103</f>
        <v/>
      </c>
      <c r="AA103" s="4" t="n"/>
      <c r="AB103" s="4" t="n"/>
      <c r="AC103" s="4" t="n"/>
      <c r="AD103" s="4">
        <f>AA103+AB103</f>
        <v/>
      </c>
      <c r="AE103" s="13">
        <f>IF(AD103&lt;=AT103,"库存不足",IF(AD103&gt;=AT103*1.5,"库存预警","库存正常"))</f>
        <v/>
      </c>
      <c r="AF103" s="4">
        <f>MAX(AT103-AA103-AB103,0)</f>
        <v/>
      </c>
      <c r="AG103" s="4">
        <f>MAX(X103-AD103,0)</f>
        <v/>
      </c>
      <c r="AH103" s="4">
        <f>AF103-AG103</f>
        <v/>
      </c>
      <c r="AI103" s="14">
        <f>AX103+(AA103+AB103)/AR103-60</f>
        <v/>
      </c>
      <c r="AJ103" s="4" t="n"/>
      <c r="AK103" s="15" t="n"/>
      <c r="AL103" s="15" t="n"/>
      <c r="AM103" s="15" t="n"/>
      <c r="AN103" s="15" t="n"/>
      <c r="AO103" s="4">
        <f>ROUND(AK103/7,0)</f>
        <v/>
      </c>
      <c r="AP103" s="4">
        <f>ROUND(AL103/15,0)</f>
        <v/>
      </c>
      <c r="AQ103" s="4">
        <f>ROUND(AM103/30,0)</f>
        <v/>
      </c>
      <c r="AR103" s="4" t="n"/>
      <c r="AS103" s="4" t="n"/>
      <c r="AT103" s="4">
        <f>AR103*(W103+7+30)</f>
        <v/>
      </c>
      <c r="AU103" s="4" t="n"/>
      <c r="AV103" s="4">
        <f>MAX(0,AT103-AD103-AC103)</f>
        <v/>
      </c>
      <c r="AW103" s="4" t="n"/>
      <c r="AX103" s="14">
        <f>TODAY()</f>
        <v/>
      </c>
      <c r="AY103" s="4" t="n"/>
      <c r="AZ103" s="4" t="n"/>
      <c r="BA103" s="16" t="n"/>
      <c r="BB103" s="16" t="n"/>
      <c r="BC103" s="16" t="n"/>
    </row>
    <row r="104" ht="14.25" customHeight="1" s="31">
      <c r="A104" s="4" t="n"/>
      <c r="B104" s="19" t="n"/>
      <c r="C104" s="4" t="n"/>
      <c r="D104" s="19" t="n"/>
      <c r="E104" s="19" t="n"/>
      <c r="F104" s="19" t="n"/>
      <c r="G104" s="34" t="n"/>
      <c r="H104" s="34" t="n"/>
      <c r="I104" s="34" t="n"/>
      <c r="J104" s="19">
        <f>K104*1000</f>
        <v/>
      </c>
      <c r="K104" s="19" t="n"/>
      <c r="L104" s="19" t="n"/>
      <c r="M104" s="19" t="n"/>
      <c r="N104" s="19" t="n"/>
      <c r="O104" s="19" t="n"/>
      <c r="P104" s="34" t="n"/>
      <c r="Q104" s="19">
        <f>ROUND((L104*M104*N104)/1000000,3)</f>
        <v/>
      </c>
      <c r="R104" s="19" t="n"/>
      <c r="S104" s="19" t="n"/>
      <c r="T104" s="4" t="n"/>
      <c r="U104" s="4" t="n"/>
      <c r="V104" s="19" t="n"/>
      <c r="W104" s="19" t="n"/>
      <c r="X104" s="4">
        <f>AR104*(W104+35+10)</f>
        <v/>
      </c>
      <c r="Y104" s="4">
        <f>AR104*(W104+35+10+45)</f>
        <v/>
      </c>
      <c r="Z104" s="4">
        <f>AA104+AB104+AC104</f>
        <v/>
      </c>
      <c r="AA104" s="4" t="n"/>
      <c r="AB104" s="4" t="n"/>
      <c r="AC104" s="4" t="n"/>
      <c r="AD104" s="4">
        <f>AA104+AB104</f>
        <v/>
      </c>
      <c r="AE104" s="13">
        <f>IF(AD104&lt;=AT104,"库存不足",IF(AD104&gt;=AT104*1.5,"库存预警","库存正常"))</f>
        <v/>
      </c>
      <c r="AF104" s="4">
        <f>MAX(AT104-AA104-AB104,0)</f>
        <v/>
      </c>
      <c r="AG104" s="4">
        <f>MAX(X104-AD104,0)</f>
        <v/>
      </c>
      <c r="AH104" s="4">
        <f>AF104-AG104</f>
        <v/>
      </c>
      <c r="AI104" s="14">
        <f>AX104+(AA104+AB104)/AR104-60</f>
        <v/>
      </c>
      <c r="AJ104" s="4" t="n"/>
      <c r="AK104" s="15" t="n"/>
      <c r="AL104" s="15" t="n"/>
      <c r="AM104" s="15" t="n"/>
      <c r="AN104" s="15" t="n"/>
      <c r="AO104" s="4">
        <f>ROUND(AK104/7,0)</f>
        <v/>
      </c>
      <c r="AP104" s="4">
        <f>ROUND(AL104/15,0)</f>
        <v/>
      </c>
      <c r="AQ104" s="4">
        <f>ROUND(AM104/30,0)</f>
        <v/>
      </c>
      <c r="AR104" s="4" t="n"/>
      <c r="AS104" s="4" t="n"/>
      <c r="AT104" s="4">
        <f>AR104*(W104+7+30)</f>
        <v/>
      </c>
      <c r="AU104" s="4" t="n"/>
      <c r="AV104" s="4">
        <f>MAX(0,AT104-AD104-AC104)</f>
        <v/>
      </c>
      <c r="AW104" s="4" t="n"/>
      <c r="AX104" s="14">
        <f>TODAY()</f>
        <v/>
      </c>
      <c r="AY104" s="4" t="n"/>
      <c r="AZ104" s="4" t="n"/>
      <c r="BA104" s="16" t="n"/>
      <c r="BB104" s="16" t="n"/>
      <c r="BC104" s="16" t="n"/>
    </row>
    <row r="105" ht="14.25" customHeight="1" s="31">
      <c r="A105" s="4" t="n"/>
      <c r="B105" s="19" t="n"/>
      <c r="C105" s="4" t="n"/>
      <c r="D105" s="19" t="n"/>
      <c r="E105" s="19" t="n"/>
      <c r="F105" s="19" t="n"/>
      <c r="G105" s="34" t="n"/>
      <c r="H105" s="34" t="n"/>
      <c r="I105" s="34" t="n"/>
      <c r="J105" s="19">
        <f>K105*1000</f>
        <v/>
      </c>
      <c r="K105" s="19" t="n"/>
      <c r="L105" s="19" t="n"/>
      <c r="M105" s="19" t="n"/>
      <c r="N105" s="19" t="n"/>
      <c r="O105" s="19" t="n"/>
      <c r="P105" s="34" t="n"/>
      <c r="Q105" s="19">
        <f>ROUND((L105*M105*N105)/1000000,3)</f>
        <v/>
      </c>
      <c r="R105" s="19" t="n"/>
      <c r="S105" s="19" t="n"/>
      <c r="T105" s="4" t="n"/>
      <c r="U105" s="4" t="n"/>
      <c r="V105" s="19" t="n"/>
      <c r="W105" s="19" t="n"/>
      <c r="X105" s="4">
        <f>AR105*(W105+35+10)</f>
        <v/>
      </c>
      <c r="Y105" s="4">
        <f>AR105*(W105+35+10+45)</f>
        <v/>
      </c>
      <c r="Z105" s="4">
        <f>AA105+AB105+AC105</f>
        <v/>
      </c>
      <c r="AA105" s="4" t="n"/>
      <c r="AB105" s="4" t="n"/>
      <c r="AC105" s="4" t="n"/>
      <c r="AD105" s="4">
        <f>AA105+AB105</f>
        <v/>
      </c>
      <c r="AE105" s="13">
        <f>IF(AD105&lt;=AT105,"库存不足",IF(AD105&gt;=AT105*1.5,"库存预警","库存正常"))</f>
        <v/>
      </c>
      <c r="AF105" s="4">
        <f>MAX(AT105-AA105-AB105,0)</f>
        <v/>
      </c>
      <c r="AG105" s="4">
        <f>MAX(X105-AD105,0)</f>
        <v/>
      </c>
      <c r="AH105" s="4">
        <f>AF105-AG105</f>
        <v/>
      </c>
      <c r="AI105" s="14">
        <f>AX105+(AA105+AB105)/AR105-60</f>
        <v/>
      </c>
      <c r="AJ105" s="4" t="n"/>
      <c r="AK105" s="15" t="n"/>
      <c r="AL105" s="15" t="n"/>
      <c r="AM105" s="15" t="n"/>
      <c r="AN105" s="15" t="n"/>
      <c r="AO105" s="4">
        <f>ROUND(AK105/7,0)</f>
        <v/>
      </c>
      <c r="AP105" s="4">
        <f>ROUND(AL105/15,0)</f>
        <v/>
      </c>
      <c r="AQ105" s="4">
        <f>ROUND(AM105/30,0)</f>
        <v/>
      </c>
      <c r="AR105" s="4" t="n"/>
      <c r="AS105" s="4" t="n"/>
      <c r="AT105" s="4">
        <f>AR105*(W105+7+30)</f>
        <v/>
      </c>
      <c r="AU105" s="4" t="n"/>
      <c r="AV105" s="4">
        <f>MAX(0,AT105-AD105-AC105)</f>
        <v/>
      </c>
      <c r="AW105" s="4" t="n"/>
      <c r="AX105" s="14">
        <f>TODAY()</f>
        <v/>
      </c>
      <c r="AY105" s="4" t="n"/>
      <c r="AZ105" s="4" t="n"/>
      <c r="BA105" s="16" t="n"/>
      <c r="BB105" s="16" t="n"/>
      <c r="BC105" s="16" t="n"/>
    </row>
    <row r="106" ht="14.25" customHeight="1" s="31">
      <c r="A106" s="4" t="n"/>
      <c r="B106" s="19" t="n"/>
      <c r="C106" s="4" t="n"/>
      <c r="D106" s="19" t="n"/>
      <c r="E106" s="19" t="n"/>
      <c r="F106" s="19" t="n"/>
      <c r="G106" s="34" t="n"/>
      <c r="H106" s="34" t="n"/>
      <c r="I106" s="34" t="n"/>
      <c r="J106" s="19">
        <f>K106*1000</f>
        <v/>
      </c>
      <c r="K106" s="19" t="n"/>
      <c r="L106" s="19" t="n"/>
      <c r="M106" s="19" t="n"/>
      <c r="N106" s="19" t="n"/>
      <c r="O106" s="19" t="n"/>
      <c r="P106" s="34" t="n"/>
      <c r="Q106" s="19">
        <f>ROUND((L106*M106*N106)/1000000,3)</f>
        <v/>
      </c>
      <c r="R106" s="19" t="n"/>
      <c r="S106" s="19" t="n"/>
      <c r="T106" s="4" t="n"/>
      <c r="U106" s="4" t="n"/>
      <c r="V106" s="19" t="n"/>
      <c r="W106" s="19" t="n"/>
      <c r="X106" s="4">
        <f>AR106*(W106+35+10)</f>
        <v/>
      </c>
      <c r="Y106" s="4">
        <f>AR106*(W106+35+10+45)</f>
        <v/>
      </c>
      <c r="Z106" s="4">
        <f>AA106+AB106+AC106</f>
        <v/>
      </c>
      <c r="AA106" s="4" t="n"/>
      <c r="AB106" s="4" t="n"/>
      <c r="AC106" s="4" t="n"/>
      <c r="AD106" s="4">
        <f>AA106+AB106</f>
        <v/>
      </c>
      <c r="AE106" s="13">
        <f>IF(AD106&lt;=AT106,"库存不足",IF(AD106&gt;=AT106*1.5,"库存预警","库存正常"))</f>
        <v/>
      </c>
      <c r="AF106" s="4">
        <f>MAX(AT106-AA106-AB106,0)</f>
        <v/>
      </c>
      <c r="AG106" s="4">
        <f>MAX(X106-AD106,0)</f>
        <v/>
      </c>
      <c r="AH106" s="4">
        <f>AF106-AG106</f>
        <v/>
      </c>
      <c r="AI106" s="14">
        <f>AX106+(AA106+AB106)/AR106-60</f>
        <v/>
      </c>
      <c r="AJ106" s="4" t="n"/>
      <c r="AK106" s="15" t="n"/>
      <c r="AL106" s="15" t="n"/>
      <c r="AM106" s="15" t="n"/>
      <c r="AN106" s="15" t="n"/>
      <c r="AO106" s="4">
        <f>ROUND(AK106/7,0)</f>
        <v/>
      </c>
      <c r="AP106" s="4">
        <f>ROUND(AL106/15,0)</f>
        <v/>
      </c>
      <c r="AQ106" s="4">
        <f>ROUND(AM106/30,0)</f>
        <v/>
      </c>
      <c r="AR106" s="4" t="n"/>
      <c r="AS106" s="4" t="n"/>
      <c r="AT106" s="4">
        <f>AR106*(W106+7+30)</f>
        <v/>
      </c>
      <c r="AU106" s="4" t="n"/>
      <c r="AV106" s="4">
        <f>MAX(0,AT106-AD106-AC106)</f>
        <v/>
      </c>
      <c r="AW106" s="4" t="n"/>
      <c r="AX106" s="14">
        <f>TODAY()</f>
        <v/>
      </c>
      <c r="AY106" s="4" t="n"/>
      <c r="AZ106" s="4" t="n"/>
      <c r="BA106" s="16" t="n"/>
      <c r="BB106" s="16" t="n"/>
      <c r="BC106" s="16" t="n"/>
    </row>
    <row r="107" ht="14.25" customHeight="1" s="31">
      <c r="A107" s="4" t="n"/>
      <c r="B107" s="19" t="n"/>
      <c r="C107" s="4" t="n"/>
      <c r="D107" s="19" t="n"/>
      <c r="E107" s="19" t="n"/>
      <c r="F107" s="19" t="n"/>
      <c r="G107" s="34" t="n"/>
      <c r="H107" s="34" t="n"/>
      <c r="I107" s="34" t="n"/>
      <c r="J107" s="19" t="n"/>
      <c r="K107" s="19" t="n"/>
      <c r="L107" s="19" t="n"/>
      <c r="M107" s="19" t="n"/>
      <c r="N107" s="19" t="n"/>
      <c r="O107" s="19" t="n"/>
      <c r="P107" s="19" t="n"/>
      <c r="Q107" s="19">
        <f>ROUND((L107*M107*N107)/1000000,3)</f>
        <v/>
      </c>
      <c r="R107" s="19" t="n"/>
      <c r="S107" s="19" t="n"/>
      <c r="T107" s="4" t="n"/>
      <c r="U107" s="4" t="n"/>
      <c r="V107" s="19" t="n"/>
      <c r="W107" s="19" t="n"/>
      <c r="X107" s="4">
        <f>AR107*(W107+35+10)</f>
        <v/>
      </c>
      <c r="Y107" s="4">
        <f>AR107*(W107+35+10+45)</f>
        <v/>
      </c>
      <c r="Z107" s="4">
        <f>AA107+AB107+AC107</f>
        <v/>
      </c>
      <c r="AA107" s="4" t="n"/>
      <c r="AB107" s="4" t="n"/>
      <c r="AC107" s="4" t="n"/>
      <c r="AD107" s="4">
        <f>AA107+AB107</f>
        <v/>
      </c>
      <c r="AE107" s="13">
        <f>IF(AD107&lt;=AT107,"库存不足",IF(AD107&gt;=AT107*1.5,"库存预警","库存正常"))</f>
        <v/>
      </c>
      <c r="AF107" s="4">
        <f>MAX(AT107-AA107-AB107,0)</f>
        <v/>
      </c>
      <c r="AG107" s="4">
        <f>MAX(X107-AD107,0)</f>
        <v/>
      </c>
      <c r="AH107" s="4">
        <f>AF107-AG107</f>
        <v/>
      </c>
      <c r="AI107" s="14">
        <f>AX107+(AA107+AB107)/AR107-60</f>
        <v/>
      </c>
      <c r="AJ107" s="4" t="n"/>
      <c r="AK107" s="15" t="n"/>
      <c r="AL107" s="15" t="n"/>
      <c r="AM107" s="15" t="n"/>
      <c r="AN107" s="15" t="n"/>
      <c r="AO107" s="4">
        <f>ROUND(AK107/7,0)</f>
        <v/>
      </c>
      <c r="AP107" s="4">
        <f>ROUND(AL107/15,0)</f>
        <v/>
      </c>
      <c r="AQ107" s="4">
        <f>ROUND(AM107/30,0)</f>
        <v/>
      </c>
      <c r="AR107" s="4" t="n"/>
      <c r="AS107" s="4" t="n"/>
      <c r="AT107" s="4">
        <f>AR107*(W107+7+30)</f>
        <v/>
      </c>
      <c r="AU107" s="4" t="n"/>
      <c r="AV107" s="4">
        <f>MAX(0,AT107-AD107-AC107)</f>
        <v/>
      </c>
      <c r="AW107" s="4" t="n"/>
      <c r="AX107" s="14">
        <f>TODAY()</f>
        <v/>
      </c>
      <c r="AY107" s="4" t="n"/>
      <c r="AZ107" s="4" t="n"/>
      <c r="BA107" s="16" t="n"/>
      <c r="BB107" s="16" t="n"/>
      <c r="BC107" s="16" t="n"/>
    </row>
    <row r="108" ht="14.25" customHeight="1" s="31">
      <c r="A108" s="4" t="n"/>
      <c r="B108" s="19" t="n"/>
      <c r="C108" s="4" t="n"/>
      <c r="D108" s="19" t="n"/>
      <c r="E108" s="19" t="n"/>
      <c r="F108" s="19" t="n"/>
      <c r="G108" s="34" t="n"/>
      <c r="H108" s="34" t="n"/>
      <c r="I108" s="34" t="n"/>
      <c r="J108" s="19">
        <f>K108*1000</f>
        <v/>
      </c>
      <c r="K108" s="19" t="n"/>
      <c r="L108" s="19" t="n"/>
      <c r="M108" s="19" t="n"/>
      <c r="N108" s="19" t="n"/>
      <c r="O108" s="19" t="n"/>
      <c r="P108" s="19" t="n"/>
      <c r="Q108" s="19">
        <f>ROUND((L108*M108*N108)/1000000,3)</f>
        <v/>
      </c>
      <c r="R108" s="19" t="n"/>
      <c r="S108" s="19" t="n"/>
      <c r="T108" s="4" t="n"/>
      <c r="U108" s="4" t="n"/>
      <c r="V108" s="19" t="n"/>
      <c r="W108" s="19" t="n"/>
      <c r="X108" s="4">
        <f>AR108*(W108+35+10)</f>
        <v/>
      </c>
      <c r="Y108" s="4">
        <f>AR108*(W108+35+10+45)</f>
        <v/>
      </c>
      <c r="Z108" s="4">
        <f>AA108+AB108+AC108</f>
        <v/>
      </c>
      <c r="AA108" s="4" t="n"/>
      <c r="AB108" s="4" t="n"/>
      <c r="AC108" s="4" t="n"/>
      <c r="AD108" s="4">
        <f>AA108+AB108</f>
        <v/>
      </c>
      <c r="AE108" s="13">
        <f>IF(AD108&lt;=AT108,"库存不足",IF(AD108&gt;=AT108*1.5,"库存预警","库存正常"))</f>
        <v/>
      </c>
      <c r="AF108" s="4">
        <f>MAX(AT108-AA108-AB108,0)</f>
        <v/>
      </c>
      <c r="AG108" s="4">
        <f>MAX(X108-AD108,0)</f>
        <v/>
      </c>
      <c r="AH108" s="4">
        <f>AF108-AG108</f>
        <v/>
      </c>
      <c r="AI108" s="14">
        <f>AX108+(AA108+AB108)/AR108-60</f>
        <v/>
      </c>
      <c r="AJ108" s="4" t="n"/>
      <c r="AK108" s="4" t="n"/>
      <c r="AL108" s="4" t="n"/>
      <c r="AM108" s="4" t="n"/>
      <c r="AN108" s="4">
        <f>ROUND(AJ108/3,0)</f>
        <v/>
      </c>
      <c r="AO108" s="4">
        <f>ROUND(AK108/7,0)</f>
        <v/>
      </c>
      <c r="AP108" s="4">
        <f>ROUND(AL108/15,0)</f>
        <v/>
      </c>
      <c r="AQ108" s="4">
        <f>ROUND(AM108/30,0)</f>
        <v/>
      </c>
      <c r="AR108" s="4" t="n"/>
      <c r="AS108" s="4" t="n"/>
      <c r="AT108" s="4">
        <f>AR108*(W108+7+30)</f>
        <v/>
      </c>
      <c r="AU108" s="4" t="n"/>
      <c r="AV108" s="4">
        <f>MAX(0,AT108-AD108-AC108)</f>
        <v/>
      </c>
      <c r="AW108" s="4" t="n"/>
      <c r="AX108" s="14">
        <f>TODAY()</f>
        <v/>
      </c>
      <c r="AY108" s="4" t="n"/>
      <c r="AZ108" s="4" t="n"/>
      <c r="BA108" s="16" t="n"/>
      <c r="BB108" s="16" t="n"/>
      <c r="BC108" s="16" t="n"/>
    </row>
    <row r="109" ht="14.25" customHeight="1" s="31">
      <c r="A109" s="4" t="n"/>
      <c r="B109" s="19" t="n"/>
      <c r="C109" s="4" t="n"/>
      <c r="D109" s="19" t="n"/>
      <c r="E109" s="19" t="n"/>
      <c r="F109" s="19" t="n"/>
      <c r="G109" s="34" t="n"/>
      <c r="H109" s="34" t="n"/>
      <c r="I109" s="34" t="n"/>
      <c r="J109" s="19">
        <f>K109*1000</f>
        <v/>
      </c>
      <c r="K109" s="19" t="n"/>
      <c r="L109" s="19" t="n"/>
      <c r="M109" s="19" t="n"/>
      <c r="N109" s="19" t="n"/>
      <c r="O109" s="19" t="n"/>
      <c r="P109" s="19" t="n"/>
      <c r="Q109" s="19">
        <f>ROUND((L109*M109*N109)/1000000,3)</f>
        <v/>
      </c>
      <c r="R109" s="19" t="n"/>
      <c r="S109" s="19" t="n"/>
      <c r="T109" s="4" t="n"/>
      <c r="U109" s="4" t="n"/>
      <c r="V109" s="19" t="n"/>
      <c r="W109" s="19" t="n"/>
      <c r="X109" s="4">
        <f>AR109*(W109+35+10)</f>
        <v/>
      </c>
      <c r="Y109" s="4">
        <f>AR109*(W109+35+10+45)</f>
        <v/>
      </c>
      <c r="Z109" s="4">
        <f>AA109+AB109+AC109</f>
        <v/>
      </c>
      <c r="AA109" s="4" t="n"/>
      <c r="AB109" s="4" t="n"/>
      <c r="AC109" s="4" t="n"/>
      <c r="AD109" s="4">
        <f>AA109+AB109</f>
        <v/>
      </c>
      <c r="AE109" s="13">
        <f>IF(AD109&lt;=AT109,"库存不足",IF(AD109&gt;=AT109*1.5,"库存预警","库存正常"))</f>
        <v/>
      </c>
      <c r="AF109" s="4">
        <f>MAX(AT109-AA109-AB109,0)</f>
        <v/>
      </c>
      <c r="AG109" s="4">
        <f>MAX(X109-AD109,0)</f>
        <v/>
      </c>
      <c r="AH109" s="4">
        <f>AF109-AG109</f>
        <v/>
      </c>
      <c r="AI109" s="14">
        <f>AX109+(AA109+AB109)/AR109-60</f>
        <v/>
      </c>
      <c r="AJ109" s="4" t="n"/>
      <c r="AK109" s="15" t="n"/>
      <c r="AL109" s="15" t="n"/>
      <c r="AM109" s="15" t="n"/>
      <c r="AN109" s="15" t="n"/>
      <c r="AO109" s="4">
        <f>ROUND(AK109/7,0)</f>
        <v/>
      </c>
      <c r="AP109" s="4">
        <f>ROUND(AL109/15,0)</f>
        <v/>
      </c>
      <c r="AQ109" s="4">
        <f>ROUND(AM109/30,0)</f>
        <v/>
      </c>
      <c r="AR109" s="4" t="n"/>
      <c r="AS109" s="4" t="n"/>
      <c r="AT109" s="4">
        <f>AR109*(W109+7+30)</f>
        <v/>
      </c>
      <c r="AU109" s="4" t="n"/>
      <c r="AV109" s="4">
        <f>MAX(0,AT109-AD109-AC109)</f>
        <v/>
      </c>
      <c r="AW109" s="4" t="n"/>
      <c r="AX109" s="14">
        <f>TODAY()</f>
        <v/>
      </c>
      <c r="AY109" s="4" t="n"/>
      <c r="AZ109" s="4" t="n"/>
      <c r="BA109" s="16" t="n"/>
      <c r="BB109" s="16" t="n"/>
      <c r="BC109" s="16" t="n"/>
    </row>
    <row r="110" ht="14.25" customHeight="1" s="31">
      <c r="A110" s="4" t="n"/>
      <c r="B110" s="19" t="n"/>
      <c r="C110" s="4" t="n"/>
      <c r="D110" s="19" t="n"/>
      <c r="E110" s="19" t="n"/>
      <c r="F110" s="19" t="n"/>
      <c r="G110" s="34" t="n"/>
      <c r="H110" s="34" t="n"/>
      <c r="I110" s="34" t="n"/>
      <c r="J110" s="19">
        <f>K110*1000</f>
        <v/>
      </c>
      <c r="K110" s="19" t="n"/>
      <c r="L110" s="19" t="n"/>
      <c r="M110" s="19" t="n"/>
      <c r="N110" s="19" t="n"/>
      <c r="O110" s="19" t="n"/>
      <c r="P110" s="19" t="n"/>
      <c r="Q110" s="19">
        <f>ROUND((L110*M110*N110)/1000000,3)</f>
        <v/>
      </c>
      <c r="R110" s="19" t="n"/>
      <c r="S110" s="19" t="n"/>
      <c r="T110" s="4" t="n"/>
      <c r="U110" s="4" t="n"/>
      <c r="V110" s="19" t="n"/>
      <c r="W110" s="19" t="n"/>
      <c r="X110" s="4">
        <f>AR110*(W110+35+10)</f>
        <v/>
      </c>
      <c r="Y110" s="4">
        <f>AR110*(W110+35+10+45)</f>
        <v/>
      </c>
      <c r="Z110" s="4">
        <f>AA110+AB110+AC110</f>
        <v/>
      </c>
      <c r="AA110" s="4" t="n"/>
      <c r="AB110" s="4" t="n"/>
      <c r="AC110" s="4" t="n"/>
      <c r="AD110" s="4">
        <f>AA110+AB110</f>
        <v/>
      </c>
      <c r="AE110" s="13">
        <f>IF(AD110&lt;=AT110,"库存不足",IF(AD110&gt;=AT110*1.5,"库存预警","库存正常"))</f>
        <v/>
      </c>
      <c r="AF110" s="4">
        <f>MAX(AT110-AA110-AB110,0)</f>
        <v/>
      </c>
      <c r="AG110" s="4">
        <f>MAX(X110-AD110,0)</f>
        <v/>
      </c>
      <c r="AH110" s="4">
        <f>AF110-AG110</f>
        <v/>
      </c>
      <c r="AI110" s="14">
        <f>AX110+(AA110+AB110)/AR110-60</f>
        <v/>
      </c>
      <c r="AJ110" s="4" t="n"/>
      <c r="AK110" s="15" t="n"/>
      <c r="AL110" s="15" t="n"/>
      <c r="AM110" s="15" t="n"/>
      <c r="AN110" s="15" t="n"/>
      <c r="AO110" s="4">
        <f>ROUND(AK110/7,0)</f>
        <v/>
      </c>
      <c r="AP110" s="4">
        <f>ROUND(AL110/15,0)</f>
        <v/>
      </c>
      <c r="AQ110" s="4">
        <f>ROUND(AM110/30,0)</f>
        <v/>
      </c>
      <c r="AR110" s="4" t="n"/>
      <c r="AS110" s="4" t="n"/>
      <c r="AT110" s="4">
        <f>AR110*(W110+7+30)</f>
        <v/>
      </c>
      <c r="AU110" s="4" t="n"/>
      <c r="AV110" s="4">
        <f>MAX(0,AT110-AD110-AC110)</f>
        <v/>
      </c>
      <c r="AW110" s="4" t="n"/>
      <c r="AX110" s="14">
        <f>TODAY()</f>
        <v/>
      </c>
      <c r="AY110" s="4" t="n"/>
      <c r="AZ110" s="4" t="n"/>
      <c r="BA110" s="16" t="n"/>
      <c r="BB110" s="16" t="n"/>
      <c r="BC110" s="16" t="n"/>
    </row>
    <row r="111" ht="14.25" customHeight="1" s="31">
      <c r="A111" s="4" t="n"/>
      <c r="B111" s="19" t="n"/>
      <c r="C111" s="4" t="n"/>
      <c r="D111" s="19" t="n"/>
      <c r="E111" s="19" t="n"/>
      <c r="F111" s="19" t="n"/>
      <c r="G111" s="34" t="n"/>
      <c r="H111" s="34" t="n"/>
      <c r="I111" s="34" t="n"/>
      <c r="J111" s="19">
        <f>K111*1000</f>
        <v/>
      </c>
      <c r="K111" s="19" t="n"/>
      <c r="L111" s="19" t="n"/>
      <c r="M111" s="19" t="n"/>
      <c r="N111" s="19" t="n"/>
      <c r="O111" s="19" t="n"/>
      <c r="P111" s="19" t="n"/>
      <c r="Q111" s="19">
        <f>ROUND((L111*M111*N111)/1000000,3)</f>
        <v/>
      </c>
      <c r="R111" s="19" t="n"/>
      <c r="S111" s="19" t="n"/>
      <c r="T111" s="4" t="n"/>
      <c r="U111" s="4" t="n"/>
      <c r="V111" s="19" t="n"/>
      <c r="W111" s="19" t="n"/>
      <c r="X111" s="4">
        <f>AR111*(W111+35+10)</f>
        <v/>
      </c>
      <c r="Y111" s="4">
        <f>AR111*(W111+35+10+45)</f>
        <v/>
      </c>
      <c r="Z111" s="4">
        <f>AA111+AB111+AC111</f>
        <v/>
      </c>
      <c r="AA111" s="4" t="n"/>
      <c r="AB111" s="4" t="n"/>
      <c r="AC111" s="4" t="n"/>
      <c r="AD111" s="4">
        <f>AA111+AB111</f>
        <v/>
      </c>
      <c r="AE111" s="13">
        <f>IF(AD111&lt;=AT111,"库存不足",IF(AD111&gt;=AT111*1.5,"库存预警","库存正常"))</f>
        <v/>
      </c>
      <c r="AF111" s="4">
        <f>MAX(AT111-AA111-AB111,0)</f>
        <v/>
      </c>
      <c r="AG111" s="4">
        <f>MAX(X111-AD111,0)</f>
        <v/>
      </c>
      <c r="AH111" s="4">
        <f>AF111-AG111</f>
        <v/>
      </c>
      <c r="AI111" s="14">
        <f>AX111+(AA111+AB111)/AR111-60</f>
        <v/>
      </c>
      <c r="AJ111" s="4" t="n"/>
      <c r="AK111" s="15" t="n"/>
      <c r="AL111" s="15" t="n"/>
      <c r="AM111" s="15" t="n"/>
      <c r="AN111" s="15" t="n"/>
      <c r="AO111" s="4">
        <f>ROUND(AK111/7,0)</f>
        <v/>
      </c>
      <c r="AP111" s="4">
        <f>ROUND(AL111/15,0)</f>
        <v/>
      </c>
      <c r="AQ111" s="4">
        <f>ROUND(AM111/30,0)</f>
        <v/>
      </c>
      <c r="AR111" s="4" t="n"/>
      <c r="AS111" s="4" t="n"/>
      <c r="AT111" s="4">
        <f>AR111*(W111+7+30)</f>
        <v/>
      </c>
      <c r="AU111" s="4" t="n"/>
      <c r="AV111" s="4">
        <f>MAX(0,AT111-AD111-AC111)</f>
        <v/>
      </c>
      <c r="AW111" s="4" t="n"/>
      <c r="AX111" s="14">
        <f>TODAY()</f>
        <v/>
      </c>
      <c r="AY111" s="4" t="n"/>
      <c r="AZ111" s="4" t="n"/>
      <c r="BA111" s="16" t="n"/>
      <c r="BB111" s="16" t="n"/>
      <c r="BC111" s="16" t="n"/>
    </row>
    <row r="112" ht="14.25" customHeight="1" s="31">
      <c r="A112" s="4" t="n"/>
      <c r="B112" s="19" t="n"/>
      <c r="C112" s="4" t="n"/>
      <c r="D112" s="19" t="n"/>
      <c r="E112" s="19" t="n"/>
      <c r="F112" s="19" t="n"/>
      <c r="G112" s="34" t="n"/>
      <c r="H112" s="34" t="n"/>
      <c r="I112" s="34" t="n"/>
      <c r="J112" s="19" t="n"/>
      <c r="K112" s="19" t="n"/>
      <c r="L112" s="19" t="n"/>
      <c r="M112" s="19" t="n"/>
      <c r="N112" s="19" t="n"/>
      <c r="O112" s="19" t="n"/>
      <c r="P112" s="19" t="n"/>
      <c r="Q112" s="19">
        <f>ROUND((L112*M112*N112)/1000000,3)</f>
        <v/>
      </c>
      <c r="R112" s="19" t="n"/>
      <c r="S112" s="19" t="n"/>
      <c r="T112" s="4" t="n"/>
      <c r="U112" s="4" t="n"/>
      <c r="V112" s="19" t="n"/>
      <c r="W112" s="19" t="n"/>
      <c r="X112" s="4">
        <f>AR112*(W112+35+10)</f>
        <v/>
      </c>
      <c r="Y112" s="4">
        <f>AR112*(W112+35+10+45)</f>
        <v/>
      </c>
      <c r="Z112" s="4">
        <f>AA112+AB112+AC112</f>
        <v/>
      </c>
      <c r="AA112" s="4" t="n"/>
      <c r="AB112" s="4" t="n"/>
      <c r="AC112" s="4" t="n"/>
      <c r="AD112" s="4">
        <f>AA112+AB112</f>
        <v/>
      </c>
      <c r="AE112" s="13">
        <f>IF(AD112&lt;=AT112,"库存不足",IF(AD112&gt;=AT112*1.5,"库存预警","库存正常"))</f>
        <v/>
      </c>
      <c r="AF112" s="4">
        <f>MAX(AT112-AA112-AB112,0)</f>
        <v/>
      </c>
      <c r="AG112" s="4">
        <f>MAX(X112-AD112,0)</f>
        <v/>
      </c>
      <c r="AH112" s="4">
        <f>AF112-AG112</f>
        <v/>
      </c>
      <c r="AI112" s="14">
        <f>AX112+(AA112+AB112)/AR112-60</f>
        <v/>
      </c>
      <c r="AJ112" s="4" t="n"/>
      <c r="AK112" s="15" t="n"/>
      <c r="AL112" s="15" t="n"/>
      <c r="AM112" s="15" t="n"/>
      <c r="AN112" s="15" t="n"/>
      <c r="AO112" s="4">
        <f>ROUND(AK112/7,0)</f>
        <v/>
      </c>
      <c r="AP112" s="4">
        <f>ROUND(AL112/15,0)</f>
        <v/>
      </c>
      <c r="AQ112" s="4">
        <f>ROUND(AM112/30,0)</f>
        <v/>
      </c>
      <c r="AR112" s="4" t="n"/>
      <c r="AS112" s="4" t="n"/>
      <c r="AT112" s="4">
        <f>AR112*(W112+7+30)</f>
        <v/>
      </c>
      <c r="AU112" s="4" t="n"/>
      <c r="AV112" s="4">
        <f>MAX(0,AT112-AD112-AC112)</f>
        <v/>
      </c>
      <c r="AW112" s="4" t="n"/>
      <c r="AX112" s="14">
        <f>TODAY()</f>
        <v/>
      </c>
      <c r="AY112" s="4" t="n"/>
      <c r="AZ112" s="4" t="n"/>
      <c r="BA112" s="16" t="n"/>
      <c r="BB112" s="16" t="n"/>
      <c r="BC112" s="16" t="n"/>
    </row>
    <row r="113" ht="14.25" customHeight="1" s="31">
      <c r="A113" s="4" t="n"/>
      <c r="B113" s="19" t="n"/>
      <c r="C113" s="4" t="n"/>
      <c r="D113" s="19" t="n"/>
      <c r="E113" s="19" t="n"/>
      <c r="F113" s="19" t="n"/>
      <c r="G113" s="34" t="n"/>
      <c r="H113" s="34" t="n"/>
      <c r="I113" s="34" t="n"/>
      <c r="J113" s="19">
        <f>K113*1000</f>
        <v/>
      </c>
      <c r="K113" s="19" t="n"/>
      <c r="L113" s="19" t="n"/>
      <c r="M113" s="19" t="n"/>
      <c r="N113" s="19" t="n"/>
      <c r="O113" s="19" t="n"/>
      <c r="P113" s="19" t="n"/>
      <c r="Q113" s="19">
        <f>ROUND((L113*M113*N113)/1000000,3)</f>
        <v/>
      </c>
      <c r="R113" s="19" t="n"/>
      <c r="S113" s="19" t="n"/>
      <c r="T113" s="4" t="n"/>
      <c r="U113" s="4" t="n"/>
      <c r="V113" s="19" t="n"/>
      <c r="W113" s="19" t="n"/>
      <c r="X113" s="4">
        <f>AR113*(W113+35+10)</f>
        <v/>
      </c>
      <c r="Y113" s="4">
        <f>AR113*(W113+35+10+45)</f>
        <v/>
      </c>
      <c r="Z113" s="4">
        <f>AA113+AB113+AC113</f>
        <v/>
      </c>
      <c r="AA113" s="4" t="n"/>
      <c r="AB113" s="4" t="n"/>
      <c r="AC113" s="4" t="n"/>
      <c r="AD113" s="4">
        <f>AA113+AB113</f>
        <v/>
      </c>
      <c r="AE113" s="13">
        <f>IF(AD113&lt;=AT113,"库存不足",IF(AD113&gt;=AT113*1.5,"库存预警","库存正常"))</f>
        <v/>
      </c>
      <c r="AF113" s="4">
        <f>MAX(AT113-AA113-AB113,0)</f>
        <v/>
      </c>
      <c r="AG113" s="4">
        <f>MAX(X113-AD113,0)</f>
        <v/>
      </c>
      <c r="AH113" s="4">
        <f>AF113-AG113</f>
        <v/>
      </c>
      <c r="AI113" s="14">
        <f>AX113+(AA113+AB113)/AR113-60</f>
        <v/>
      </c>
      <c r="AJ113" s="4" t="n"/>
      <c r="AK113" s="15" t="n"/>
      <c r="AL113" s="15" t="n"/>
      <c r="AM113" s="15" t="n"/>
      <c r="AN113" s="15" t="n"/>
      <c r="AO113" s="4">
        <f>ROUND(AK113/7,0)</f>
        <v/>
      </c>
      <c r="AP113" s="4">
        <f>ROUND(AL113/15,0)</f>
        <v/>
      </c>
      <c r="AQ113" s="4">
        <f>ROUND(AM113/30,0)</f>
        <v/>
      </c>
      <c r="AR113" s="4" t="n"/>
      <c r="AS113" s="4" t="n"/>
      <c r="AT113" s="4">
        <f>AR113*(W113+7+30)</f>
        <v/>
      </c>
      <c r="AU113" s="4" t="n"/>
      <c r="AV113" s="4">
        <f>MAX(0,AT113-AD113-AC113)</f>
        <v/>
      </c>
      <c r="AW113" s="4" t="n"/>
      <c r="AX113" s="14">
        <f>TODAY()</f>
        <v/>
      </c>
      <c r="AY113" s="4" t="n"/>
      <c r="AZ113" s="4" t="n"/>
      <c r="BA113" s="16" t="n"/>
      <c r="BB113" s="16" t="n"/>
      <c r="BC113" s="16" t="n"/>
    </row>
    <row r="114" ht="14.25" customHeight="1" s="31">
      <c r="A114" s="4" t="n"/>
      <c r="B114" s="19" t="n"/>
      <c r="C114" s="4" t="n"/>
      <c r="D114" s="19" t="n"/>
      <c r="E114" s="19" t="n"/>
      <c r="F114" s="19" t="n"/>
      <c r="G114" s="34" t="n"/>
      <c r="H114" s="34" t="n"/>
      <c r="I114" s="34" t="n"/>
      <c r="J114" s="19" t="n"/>
      <c r="K114" s="19" t="n"/>
      <c r="L114" s="19" t="n"/>
      <c r="M114" s="19" t="n"/>
      <c r="N114" s="19" t="n"/>
      <c r="O114" s="19" t="n"/>
      <c r="P114" s="19" t="n"/>
      <c r="Q114" s="19">
        <f>ROUND((L114*M114*N114)/1000000,3)</f>
        <v/>
      </c>
      <c r="R114" s="19" t="n"/>
      <c r="S114" s="19" t="n"/>
      <c r="T114" s="4" t="n"/>
      <c r="U114" s="4" t="n"/>
      <c r="V114" s="19" t="n"/>
      <c r="W114" s="19" t="n"/>
      <c r="X114" s="4">
        <f>AR114*(W114+35+10)</f>
        <v/>
      </c>
      <c r="Y114" s="4">
        <f>AR114*(W114+35+10+45)</f>
        <v/>
      </c>
      <c r="Z114" s="4">
        <f>AA114+AB114+AC114</f>
        <v/>
      </c>
      <c r="AA114" s="4" t="n"/>
      <c r="AB114" s="4" t="n"/>
      <c r="AC114" s="4" t="n"/>
      <c r="AD114" s="4">
        <f>AA114+AB114</f>
        <v/>
      </c>
      <c r="AE114" s="13">
        <f>IF(AD114&lt;=AT114,"库存不足",IF(AD114&gt;=AT114*1.5,"库存预警","库存正常"))</f>
        <v/>
      </c>
      <c r="AF114" s="4">
        <f>MAX(AT114-AA114-AB114,0)</f>
        <v/>
      </c>
      <c r="AG114" s="4">
        <f>MAX(X114-AD114,0)</f>
        <v/>
      </c>
      <c r="AH114" s="4">
        <f>AF114-AG114</f>
        <v/>
      </c>
      <c r="AI114" s="14">
        <f>AX114+(AA114+AB114)/AR114-60</f>
        <v/>
      </c>
      <c r="AJ114" s="4" t="n"/>
      <c r="AK114" s="15" t="n"/>
      <c r="AL114" s="15" t="n"/>
      <c r="AM114" s="15" t="n"/>
      <c r="AN114" s="15" t="n"/>
      <c r="AO114" s="4">
        <f>ROUND(AK114/7,0)</f>
        <v/>
      </c>
      <c r="AP114" s="4">
        <f>ROUND(AL114/15,0)</f>
        <v/>
      </c>
      <c r="AQ114" s="4">
        <f>ROUND(AM114/30,0)</f>
        <v/>
      </c>
      <c r="AR114" s="4" t="n"/>
      <c r="AS114" s="4" t="n"/>
      <c r="AT114" s="4">
        <f>AR114*(W114+7+30)</f>
        <v/>
      </c>
      <c r="AU114" s="4" t="n"/>
      <c r="AV114" s="4">
        <f>MAX(0,AT114-AD114-AC114)</f>
        <v/>
      </c>
      <c r="AW114" s="4" t="n"/>
      <c r="AX114" s="14">
        <f>TODAY()</f>
        <v/>
      </c>
      <c r="AY114" s="4" t="n"/>
      <c r="AZ114" s="4" t="n"/>
      <c r="BA114" s="16" t="n"/>
      <c r="BB114" s="16" t="n"/>
      <c r="BC114" s="16" t="n"/>
    </row>
    <row r="115" ht="14.25" customHeight="1" s="31">
      <c r="A115" s="4" t="n"/>
      <c r="B115" s="19" t="n"/>
      <c r="C115" s="4" t="n"/>
      <c r="D115" s="19" t="n"/>
      <c r="E115" s="19" t="n"/>
      <c r="F115" s="19" t="n"/>
      <c r="G115" s="34" t="n"/>
      <c r="H115" s="34" t="n"/>
      <c r="I115" s="34" t="n"/>
      <c r="J115" s="19" t="n"/>
      <c r="K115" s="19" t="n"/>
      <c r="L115" s="19" t="n"/>
      <c r="M115" s="19" t="n"/>
      <c r="N115" s="19" t="n"/>
      <c r="O115" s="19" t="n"/>
      <c r="P115" s="19" t="n"/>
      <c r="Q115" s="19">
        <f>ROUND((L115*M115*N115)/1000000,3)</f>
        <v/>
      </c>
      <c r="R115" s="19" t="n"/>
      <c r="S115" s="19" t="n"/>
      <c r="T115" s="4" t="n"/>
      <c r="U115" s="4" t="n"/>
      <c r="V115" s="19" t="n"/>
      <c r="W115" s="19" t="n"/>
      <c r="X115" s="4">
        <f>AR115*(W115+35+10)</f>
        <v/>
      </c>
      <c r="Y115" s="4">
        <f>AR115*(W115+35+10+45)</f>
        <v/>
      </c>
      <c r="Z115" s="4">
        <f>AA115+AB115+AC115</f>
        <v/>
      </c>
      <c r="AA115" s="4" t="n"/>
      <c r="AB115" s="4" t="n"/>
      <c r="AC115" s="4" t="n"/>
      <c r="AD115" s="4">
        <f>AA115+AB115</f>
        <v/>
      </c>
      <c r="AE115" s="13">
        <f>IF(AD115&lt;=AT115,"库存不足",IF(AD115&gt;=AT115*1.5,"库存预警","库存正常"))</f>
        <v/>
      </c>
      <c r="AF115" s="4">
        <f>MAX(AT115-AA115-AB115,0)</f>
        <v/>
      </c>
      <c r="AG115" s="4">
        <f>MAX(X115-AD115,0)</f>
        <v/>
      </c>
      <c r="AH115" s="4">
        <f>AF115-AG115</f>
        <v/>
      </c>
      <c r="AI115" s="14">
        <f>AX115+(AA115+AB115)/AR115-60</f>
        <v/>
      </c>
      <c r="AJ115" s="4" t="n"/>
      <c r="AK115" s="15" t="n"/>
      <c r="AL115" s="15" t="n"/>
      <c r="AM115" s="15" t="n"/>
      <c r="AN115" s="15" t="n"/>
      <c r="AO115" s="4">
        <f>ROUND(AK115/7,0)</f>
        <v/>
      </c>
      <c r="AP115" s="4">
        <f>ROUND(AL115/15,0)</f>
        <v/>
      </c>
      <c r="AQ115" s="4">
        <f>ROUND(AM115/30,0)</f>
        <v/>
      </c>
      <c r="AR115" s="4" t="n"/>
      <c r="AS115" s="4" t="n"/>
      <c r="AT115" s="4">
        <f>AR115*(W115+7+30)</f>
        <v/>
      </c>
      <c r="AU115" s="4" t="n"/>
      <c r="AV115" s="4">
        <f>MAX(0,AT115-AD115-AC115)</f>
        <v/>
      </c>
      <c r="AW115" s="4" t="n"/>
      <c r="AX115" s="14">
        <f>TODAY()</f>
        <v/>
      </c>
      <c r="AY115" s="4" t="n"/>
      <c r="AZ115" s="4" t="n"/>
      <c r="BA115" s="16" t="n"/>
      <c r="BB115" s="16" t="n"/>
      <c r="BC115" s="16" t="n"/>
    </row>
    <row r="116" ht="14.25" customHeight="1" s="31">
      <c r="A116" s="4" t="n"/>
      <c r="B116" s="19" t="n"/>
      <c r="C116" s="4" t="n"/>
      <c r="D116" s="19" t="n"/>
      <c r="E116" s="19" t="n"/>
      <c r="F116" s="19" t="n"/>
      <c r="G116" s="34" t="n"/>
      <c r="H116" s="34" t="n"/>
      <c r="I116" s="34" t="n"/>
      <c r="J116" s="19">
        <f>K116*1000</f>
        <v/>
      </c>
      <c r="K116" s="19" t="n"/>
      <c r="L116" s="19" t="n"/>
      <c r="M116" s="19" t="n"/>
      <c r="N116" s="19" t="n"/>
      <c r="O116" s="19" t="n"/>
      <c r="P116" s="19" t="n"/>
      <c r="Q116" s="19">
        <f>ROUND((L116*M116*N116)/1000000,3)</f>
        <v/>
      </c>
      <c r="R116" s="19" t="n"/>
      <c r="S116" s="19" t="n"/>
      <c r="T116" s="4" t="n"/>
      <c r="U116" s="4" t="n"/>
      <c r="V116" s="19" t="n"/>
      <c r="W116" s="19" t="n"/>
      <c r="X116" s="4">
        <f>AR116*(W116+35+10)</f>
        <v/>
      </c>
      <c r="Y116" s="4">
        <f>AR116*(W116+35+10+45)</f>
        <v/>
      </c>
      <c r="Z116" s="4">
        <f>AA116+AB116+AC116</f>
        <v/>
      </c>
      <c r="AA116" s="4" t="n"/>
      <c r="AB116" s="4" t="n"/>
      <c r="AC116" s="4" t="n"/>
      <c r="AD116" s="4">
        <f>AA116+AB116</f>
        <v/>
      </c>
      <c r="AE116" s="13">
        <f>IF(AD116&lt;=AT116,"库存不足",IF(AD116&gt;=AT116*1.5,"库存预警","库存正常"))</f>
        <v/>
      </c>
      <c r="AF116" s="4">
        <f>MAX(AT116-AA116-AB116,0)</f>
        <v/>
      </c>
      <c r="AG116" s="4">
        <f>MAX(X116-AD116,0)</f>
        <v/>
      </c>
      <c r="AH116" s="4">
        <f>AF116-AG116</f>
        <v/>
      </c>
      <c r="AI116" s="14">
        <f>AX116+(AA116+AB116)/AR116-60</f>
        <v/>
      </c>
      <c r="AJ116" s="4" t="n"/>
      <c r="AK116" s="15" t="n"/>
      <c r="AL116" s="15" t="n"/>
      <c r="AM116" s="15" t="n"/>
      <c r="AN116" s="15" t="n"/>
      <c r="AO116" s="4">
        <f>ROUND(AK116/7,0)</f>
        <v/>
      </c>
      <c r="AP116" s="4">
        <f>ROUND(AL116/15,0)</f>
        <v/>
      </c>
      <c r="AQ116" s="4">
        <f>ROUND(AM116/30,0)</f>
        <v/>
      </c>
      <c r="AR116" s="4" t="n"/>
      <c r="AS116" s="4" t="n"/>
      <c r="AT116" s="4">
        <f>AR116*(W116+7+30)</f>
        <v/>
      </c>
      <c r="AU116" s="4" t="n"/>
      <c r="AV116" s="4">
        <f>MAX(0,AT116-AD116-AC116)</f>
        <v/>
      </c>
      <c r="AW116" s="4" t="n"/>
      <c r="AX116" s="14">
        <f>TODAY()</f>
        <v/>
      </c>
      <c r="AY116" s="4" t="n"/>
      <c r="AZ116" s="4" t="n"/>
      <c r="BA116" s="16" t="n"/>
      <c r="BB116" s="16" t="n"/>
      <c r="BC116" s="16" t="n"/>
    </row>
    <row r="117" ht="14.25" customHeight="1" s="31">
      <c r="A117" s="4" t="n"/>
      <c r="B117" s="19" t="n"/>
      <c r="C117" s="4" t="n"/>
      <c r="D117" s="19" t="n"/>
      <c r="E117" s="19" t="n"/>
      <c r="F117" s="19" t="n"/>
      <c r="G117" s="34" t="n"/>
      <c r="H117" s="34" t="n"/>
      <c r="I117" s="34" t="n"/>
      <c r="J117" s="19">
        <f>K117*1000</f>
        <v/>
      </c>
      <c r="K117" s="19" t="n"/>
      <c r="L117" s="19" t="n"/>
      <c r="M117" s="19" t="n"/>
      <c r="N117" s="19" t="n"/>
      <c r="O117" s="19" t="n"/>
      <c r="P117" s="19" t="n"/>
      <c r="Q117" s="19">
        <f>ROUND((L117*M117*N117)/1000000,3)</f>
        <v/>
      </c>
      <c r="R117" s="19" t="n"/>
      <c r="S117" s="19" t="n"/>
      <c r="T117" s="4" t="n"/>
      <c r="U117" s="4" t="n"/>
      <c r="V117" s="19" t="n"/>
      <c r="W117" s="19" t="n"/>
      <c r="X117" s="4">
        <f>AR117*(W117+35+10)</f>
        <v/>
      </c>
      <c r="Y117" s="4">
        <f>AR117*(W117+35+10+45)</f>
        <v/>
      </c>
      <c r="Z117" s="4">
        <f>AA117+AB117+AC117</f>
        <v/>
      </c>
      <c r="AA117" s="4" t="n"/>
      <c r="AB117" s="4" t="n"/>
      <c r="AC117" s="4" t="n"/>
      <c r="AD117" s="4">
        <f>AA117+AB117</f>
        <v/>
      </c>
      <c r="AE117" s="13">
        <f>IF(AD117&lt;=AT117,"库存不足",IF(AD117&gt;=AT117*1.5,"库存预警","库存正常"))</f>
        <v/>
      </c>
      <c r="AF117" s="4">
        <f>MAX(AT117-AA117-AB117,0)</f>
        <v/>
      </c>
      <c r="AG117" s="4">
        <f>MAX(X117-AD117,0)</f>
        <v/>
      </c>
      <c r="AH117" s="4">
        <f>AF117-AG117</f>
        <v/>
      </c>
      <c r="AI117" s="14">
        <f>AX117+(AA117+AB117)/AR117-60</f>
        <v/>
      </c>
      <c r="AJ117" s="4" t="n"/>
      <c r="AK117" s="15" t="n"/>
      <c r="AL117" s="15" t="n"/>
      <c r="AM117" s="15" t="n"/>
      <c r="AN117" s="15" t="n"/>
      <c r="AO117" s="4">
        <f>ROUND(AK117/7,0)</f>
        <v/>
      </c>
      <c r="AP117" s="4">
        <f>ROUND(AL117/15,0)</f>
        <v/>
      </c>
      <c r="AQ117" s="4">
        <f>ROUND(AM117/30,0)</f>
        <v/>
      </c>
      <c r="AR117" s="4" t="n"/>
      <c r="AS117" s="4" t="n"/>
      <c r="AT117" s="4">
        <f>AR117*(W117+7+30)</f>
        <v/>
      </c>
      <c r="AU117" s="4" t="n"/>
      <c r="AV117" s="4">
        <f>MAX(0,AT117-AD117-AC117)</f>
        <v/>
      </c>
      <c r="AW117" s="4" t="n"/>
      <c r="AX117" s="14">
        <f>TODAY()</f>
        <v/>
      </c>
      <c r="AY117" s="4" t="n"/>
      <c r="AZ117" s="4" t="n"/>
      <c r="BA117" s="16" t="n"/>
      <c r="BB117" s="16" t="n"/>
      <c r="BC117" s="16" t="n"/>
    </row>
    <row r="118" ht="14.25" customHeight="1" s="31">
      <c r="A118" s="4" t="n"/>
      <c r="B118" s="19" t="n"/>
      <c r="C118" s="4" t="n"/>
      <c r="D118" s="19" t="n"/>
      <c r="E118" s="19" t="n"/>
      <c r="F118" s="19" t="n"/>
      <c r="G118" s="34" t="n"/>
      <c r="H118" s="34" t="n"/>
      <c r="I118" s="34" t="n"/>
      <c r="J118" s="19">
        <f>K118*1000</f>
        <v/>
      </c>
      <c r="K118" s="19" t="n"/>
      <c r="L118" s="19" t="n"/>
      <c r="M118" s="19" t="n"/>
      <c r="N118" s="19" t="n"/>
      <c r="O118" s="19" t="n"/>
      <c r="P118" s="19" t="n"/>
      <c r="Q118" s="19">
        <f>ROUND((L118*M118*N118)/1000000,3)</f>
        <v/>
      </c>
      <c r="R118" s="19" t="n"/>
      <c r="S118" s="19" t="n"/>
      <c r="T118" s="4" t="n"/>
      <c r="U118" s="4" t="n"/>
      <c r="V118" s="19" t="n"/>
      <c r="W118" s="19" t="n"/>
      <c r="X118" s="4">
        <f>AR118*(W118+35+10)</f>
        <v/>
      </c>
      <c r="Y118" s="4">
        <f>AR118*(W118+35+10+45)</f>
        <v/>
      </c>
      <c r="Z118" s="4">
        <f>AA118+AB118+AC118</f>
        <v/>
      </c>
      <c r="AA118" s="4" t="n"/>
      <c r="AB118" s="4" t="n"/>
      <c r="AC118" s="4" t="n"/>
      <c r="AD118" s="4">
        <f>AA118+AB118</f>
        <v/>
      </c>
      <c r="AE118" s="13">
        <f>IF(AD118&lt;=AT118,"库存不足",IF(AD118&gt;=AT118*1.5,"库存预警","库存正常"))</f>
        <v/>
      </c>
      <c r="AF118" s="4">
        <f>MAX(AT118-AA118-AB118,0)</f>
        <v/>
      </c>
      <c r="AG118" s="4">
        <f>MAX(X118-AD118,0)</f>
        <v/>
      </c>
      <c r="AH118" s="4">
        <f>AF118-AG118</f>
        <v/>
      </c>
      <c r="AI118" s="14">
        <f>AX118+(AA118+AB118)/AR118-60</f>
        <v/>
      </c>
      <c r="AJ118" s="4" t="n"/>
      <c r="AK118" s="15" t="n"/>
      <c r="AL118" s="15" t="n"/>
      <c r="AM118" s="15" t="n"/>
      <c r="AN118" s="15" t="n"/>
      <c r="AO118" s="4">
        <f>ROUND(AK118/7,0)</f>
        <v/>
      </c>
      <c r="AP118" s="4">
        <f>ROUND(AL118/15,0)</f>
        <v/>
      </c>
      <c r="AQ118" s="4">
        <f>ROUND(AM118/30,0)</f>
        <v/>
      </c>
      <c r="AR118" s="4" t="n"/>
      <c r="AS118" s="4" t="n"/>
      <c r="AT118" s="4">
        <f>AR118*(W118+7+30)</f>
        <v/>
      </c>
      <c r="AU118" s="4" t="n"/>
      <c r="AV118" s="4">
        <f>MAX(0,AT118-AD118-AC118)</f>
        <v/>
      </c>
      <c r="AW118" s="4" t="n"/>
      <c r="AX118" s="14">
        <f>TODAY()</f>
        <v/>
      </c>
      <c r="AY118" s="4" t="n"/>
      <c r="AZ118" s="4" t="n"/>
      <c r="BA118" s="16" t="n"/>
      <c r="BB118" s="16" t="n"/>
      <c r="BC118" s="16" t="n"/>
    </row>
    <row r="119" ht="14.25" customHeight="1" s="31">
      <c r="A119" s="4" t="n"/>
      <c r="B119" s="19" t="n"/>
      <c r="C119" s="4" t="n"/>
      <c r="D119" s="19" t="n"/>
      <c r="E119" s="19" t="n"/>
      <c r="F119" s="19" t="n"/>
      <c r="G119" s="34" t="n"/>
      <c r="H119" s="34" t="n"/>
      <c r="I119" s="34" t="n"/>
      <c r="J119" s="19">
        <f>K119*1000</f>
        <v/>
      </c>
      <c r="K119" s="19" t="n"/>
      <c r="L119" s="19" t="n"/>
      <c r="M119" s="19" t="n"/>
      <c r="N119" s="19" t="n"/>
      <c r="O119" s="19" t="n"/>
      <c r="P119" s="19" t="n"/>
      <c r="Q119" s="19">
        <f>ROUND((L119*M119*N119)/1000000,3)</f>
        <v/>
      </c>
      <c r="R119" s="19" t="n"/>
      <c r="S119" s="19" t="n"/>
      <c r="T119" s="4" t="n"/>
      <c r="U119" s="4" t="n"/>
      <c r="V119" s="19" t="n"/>
      <c r="W119" s="19" t="n"/>
      <c r="X119" s="4">
        <f>AR119*(W119+35+10)</f>
        <v/>
      </c>
      <c r="Y119" s="4">
        <f>AR119*(W119+35+10+45)</f>
        <v/>
      </c>
      <c r="Z119" s="4">
        <f>AA119+AB119+AC119</f>
        <v/>
      </c>
      <c r="AA119" s="4" t="n"/>
      <c r="AB119" s="4" t="n"/>
      <c r="AC119" s="4" t="n"/>
      <c r="AD119" s="4">
        <f>AA119+AB119</f>
        <v/>
      </c>
      <c r="AE119" s="13">
        <f>IF(AD119&lt;=AT119,"库存不足",IF(AD119&gt;=AT119*1.5,"库存预警","库存正常"))</f>
        <v/>
      </c>
      <c r="AF119" s="4">
        <f>MAX(AT119-AA119-AB119,0)</f>
        <v/>
      </c>
      <c r="AG119" s="4">
        <f>MAX(X119-AD119,0)</f>
        <v/>
      </c>
      <c r="AH119" s="4">
        <f>AF119-AG119</f>
        <v/>
      </c>
      <c r="AI119" s="14">
        <f>AX119+(AA119+AB119)/AR119-60</f>
        <v/>
      </c>
      <c r="AJ119" s="4" t="n"/>
      <c r="AK119" s="15" t="n"/>
      <c r="AL119" s="15" t="n"/>
      <c r="AM119" s="15" t="n"/>
      <c r="AN119" s="15" t="n"/>
      <c r="AO119" s="4">
        <f>ROUND(AK119/7,0)</f>
        <v/>
      </c>
      <c r="AP119" s="4">
        <f>ROUND(AL119/15,0)</f>
        <v/>
      </c>
      <c r="AQ119" s="4">
        <f>ROUND(AM119/30,0)</f>
        <v/>
      </c>
      <c r="AR119" s="4" t="n"/>
      <c r="AS119" s="4" t="n"/>
      <c r="AT119" s="4">
        <f>AR119*(W119+7+30)</f>
        <v/>
      </c>
      <c r="AU119" s="4" t="n"/>
      <c r="AV119" s="4">
        <f>MAX(0,AT119-AD119-AC119)</f>
        <v/>
      </c>
      <c r="AW119" s="4" t="n"/>
      <c r="AX119" s="14">
        <f>TODAY()</f>
        <v/>
      </c>
      <c r="AY119" s="4" t="n"/>
      <c r="AZ119" s="4" t="n"/>
      <c r="BA119" s="16" t="n"/>
      <c r="BB119" s="16" t="n"/>
      <c r="BC119" s="16" t="n"/>
    </row>
    <row r="120" ht="14.25" customHeight="1" s="31">
      <c r="A120" s="4" t="n"/>
      <c r="B120" s="19" t="n"/>
      <c r="C120" s="4" t="n"/>
      <c r="D120" s="19" t="n"/>
      <c r="E120" s="19" t="n"/>
      <c r="F120" s="19" t="n"/>
      <c r="G120" s="34" t="n"/>
      <c r="H120" s="34" t="n"/>
      <c r="I120" s="34" t="n"/>
      <c r="J120" s="19">
        <f>K120*1000</f>
        <v/>
      </c>
      <c r="K120" s="19" t="n"/>
      <c r="L120" s="19" t="n"/>
      <c r="M120" s="19" t="n"/>
      <c r="N120" s="19" t="n"/>
      <c r="O120" s="19" t="n"/>
      <c r="P120" s="19" t="n"/>
      <c r="Q120" s="19">
        <f>ROUND((L120*M120*N120)/1000000,3)</f>
        <v/>
      </c>
      <c r="R120" s="19" t="n"/>
      <c r="S120" s="19" t="n"/>
      <c r="T120" s="4" t="n"/>
      <c r="U120" s="4" t="n"/>
      <c r="V120" s="19" t="n"/>
      <c r="W120" s="19" t="n"/>
      <c r="X120" s="4">
        <f>AR120*(W120+35+10)</f>
        <v/>
      </c>
      <c r="Y120" s="4">
        <f>AR120*(W120+35+10+45)</f>
        <v/>
      </c>
      <c r="Z120" s="4">
        <f>AA120+AB120+AC120</f>
        <v/>
      </c>
      <c r="AA120" s="4" t="n"/>
      <c r="AB120" s="4" t="n"/>
      <c r="AC120" s="4" t="n"/>
      <c r="AD120" s="4">
        <f>AA120+AB120</f>
        <v/>
      </c>
      <c r="AE120" s="13">
        <f>IF(AD120&lt;=AT120,"库存不足",IF(AD120&gt;=AT120*1.5,"库存预警","库存正常"))</f>
        <v/>
      </c>
      <c r="AF120" s="4">
        <f>MAX(AT120-AA120-AB120,0)</f>
        <v/>
      </c>
      <c r="AG120" s="4">
        <f>MAX(X120-AD120,0)</f>
        <v/>
      </c>
      <c r="AH120" s="4">
        <f>AF120-AG120</f>
        <v/>
      </c>
      <c r="AI120" s="14">
        <f>AX120+(AA120+AB120)/AR120-60</f>
        <v/>
      </c>
      <c r="AJ120" s="4" t="n"/>
      <c r="AK120" s="15" t="n"/>
      <c r="AL120" s="15" t="n"/>
      <c r="AM120" s="15" t="n"/>
      <c r="AN120" s="15" t="n"/>
      <c r="AO120" s="4">
        <f>ROUND(AK120/7,0)</f>
        <v/>
      </c>
      <c r="AP120" s="4">
        <f>ROUND(AL120/15,0)</f>
        <v/>
      </c>
      <c r="AQ120" s="4">
        <f>ROUND(AM120/30,0)</f>
        <v/>
      </c>
      <c r="AR120" s="4" t="n"/>
      <c r="AS120" s="4" t="n"/>
      <c r="AT120" s="4">
        <f>AR120*(W120+7+30)</f>
        <v/>
      </c>
      <c r="AU120" s="4" t="n"/>
      <c r="AV120" s="4">
        <f>MAX(0,AT120-AD120-AC120)</f>
        <v/>
      </c>
      <c r="AW120" s="4" t="n"/>
      <c r="AX120" s="14">
        <f>TODAY()</f>
        <v/>
      </c>
      <c r="AY120" s="4" t="n"/>
      <c r="AZ120" s="4" t="n"/>
      <c r="BA120" s="16" t="n"/>
      <c r="BB120" s="16" t="n"/>
      <c r="BC120" s="16" t="n"/>
    </row>
    <row r="121" ht="14.25" customHeight="1" s="31">
      <c r="A121" s="4" t="n"/>
      <c r="B121" s="19" t="n"/>
      <c r="C121" s="4" t="n"/>
      <c r="D121" s="19" t="n"/>
      <c r="E121" s="19" t="n"/>
      <c r="F121" s="19" t="n"/>
      <c r="G121" s="34" t="n"/>
      <c r="H121" s="34" t="n"/>
      <c r="I121" s="34" t="n"/>
      <c r="J121" s="19">
        <f>K121*1000</f>
        <v/>
      </c>
      <c r="K121" s="19" t="n"/>
      <c r="L121" s="19" t="n"/>
      <c r="M121" s="19" t="n"/>
      <c r="N121" s="19" t="n"/>
      <c r="O121" s="19" t="n"/>
      <c r="P121" s="19" t="n"/>
      <c r="Q121" s="19">
        <f>ROUND((L121*M121*N121)/1000000,3)</f>
        <v/>
      </c>
      <c r="R121" s="19" t="n"/>
      <c r="S121" s="19" t="n"/>
      <c r="T121" s="4" t="n"/>
      <c r="U121" s="4" t="n"/>
      <c r="V121" s="19" t="n"/>
      <c r="W121" s="19" t="n"/>
      <c r="X121" s="4">
        <f>AR121*(W121+35+10)</f>
        <v/>
      </c>
      <c r="Y121" s="4">
        <f>AR121*(W121+35+10+45)</f>
        <v/>
      </c>
      <c r="Z121" s="4">
        <f>AA121+AB121+AC121</f>
        <v/>
      </c>
      <c r="AA121" s="4" t="n"/>
      <c r="AB121" s="4" t="n"/>
      <c r="AC121" s="4" t="n"/>
      <c r="AD121" s="4">
        <f>AA121+AB121</f>
        <v/>
      </c>
      <c r="AE121" s="13">
        <f>IF(AD121&lt;=AT121,"库存不足",IF(AD121&gt;=AT121*1.5,"库存预警","库存正常"))</f>
        <v/>
      </c>
      <c r="AF121" s="4">
        <f>MAX(AT121-AA121-AB121,0)</f>
        <v/>
      </c>
      <c r="AG121" s="4">
        <f>MAX(X121-AD121,0)</f>
        <v/>
      </c>
      <c r="AH121" s="4">
        <f>AF121-AG121</f>
        <v/>
      </c>
      <c r="AI121" s="14">
        <f>AX121+(AA121+AB121)/AR121-60</f>
        <v/>
      </c>
      <c r="AJ121" s="4" t="n"/>
      <c r="AK121" s="15" t="n"/>
      <c r="AL121" s="15" t="n"/>
      <c r="AM121" s="15" t="n"/>
      <c r="AN121" s="15" t="n"/>
      <c r="AO121" s="4">
        <f>ROUND(AK121/7,0)</f>
        <v/>
      </c>
      <c r="AP121" s="4">
        <f>ROUND(AL121/15,0)</f>
        <v/>
      </c>
      <c r="AQ121" s="4">
        <f>ROUND(AM121/30,0)</f>
        <v/>
      </c>
      <c r="AR121" s="4" t="n"/>
      <c r="AS121" s="4" t="n"/>
      <c r="AT121" s="4">
        <f>AR121*(W121+7+30)</f>
        <v/>
      </c>
      <c r="AU121" s="4" t="n"/>
      <c r="AV121" s="4">
        <f>MAX(0,AT121-AD121-AC121)</f>
        <v/>
      </c>
      <c r="AW121" s="4" t="n"/>
      <c r="AX121" s="14">
        <f>TODAY()</f>
        <v/>
      </c>
      <c r="AY121" s="4" t="n"/>
      <c r="AZ121" s="4" t="n"/>
      <c r="BA121" s="16" t="n"/>
      <c r="BB121" s="16" t="n"/>
      <c r="BC121" s="16" t="n"/>
    </row>
    <row r="122" ht="14.25" customHeight="1" s="31">
      <c r="A122" s="4" t="n"/>
      <c r="B122" s="19" t="n"/>
      <c r="C122" s="4" t="n"/>
      <c r="D122" s="19" t="n"/>
      <c r="E122" s="19" t="n"/>
      <c r="F122" s="19" t="n"/>
      <c r="G122" s="34" t="n"/>
      <c r="H122" s="34" t="n"/>
      <c r="I122" s="34" t="n"/>
      <c r="J122" s="19" t="n"/>
      <c r="K122" s="19" t="n"/>
      <c r="L122" s="19" t="n"/>
      <c r="M122" s="19" t="n"/>
      <c r="N122" s="19" t="n"/>
      <c r="O122" s="19" t="n"/>
      <c r="P122" s="19" t="n"/>
      <c r="Q122" s="19">
        <f>ROUND((L122*M122*N122)/1000000,3)</f>
        <v/>
      </c>
      <c r="R122" s="19" t="n"/>
      <c r="S122" s="19" t="n"/>
      <c r="T122" s="4" t="n"/>
      <c r="U122" s="4" t="n"/>
      <c r="V122" s="19" t="n"/>
      <c r="W122" s="19" t="n"/>
      <c r="X122" s="4">
        <f>AR122*(W122+35+10)</f>
        <v/>
      </c>
      <c r="Y122" s="4">
        <f>AR122*(W122+35+10+45)</f>
        <v/>
      </c>
      <c r="Z122" s="4">
        <f>AA122+AB122+AC122</f>
        <v/>
      </c>
      <c r="AA122" s="4" t="n"/>
      <c r="AB122" s="4" t="n"/>
      <c r="AC122" s="4" t="n"/>
      <c r="AD122" s="4">
        <f>AA122+AB122</f>
        <v/>
      </c>
      <c r="AE122" s="13">
        <f>IF(AD122&lt;=AT122,"库存不足",IF(AD122&gt;=AT122*1.5,"库存预警","库存正常"))</f>
        <v/>
      </c>
      <c r="AF122" s="4">
        <f>MAX(AT122-AA122-AB122,0)</f>
        <v/>
      </c>
      <c r="AG122" s="4">
        <f>MAX(X122-AD122,0)</f>
        <v/>
      </c>
      <c r="AH122" s="4">
        <f>AF122-AG122</f>
        <v/>
      </c>
      <c r="AI122" s="14">
        <f>AX122+(AA122+AB122)/AR122-60</f>
        <v/>
      </c>
      <c r="AJ122" s="4" t="n"/>
      <c r="AK122" s="15" t="n"/>
      <c r="AL122" s="15" t="n"/>
      <c r="AM122" s="15" t="n"/>
      <c r="AN122" s="15" t="n"/>
      <c r="AO122" s="4">
        <f>ROUND(AK122/7,0)</f>
        <v/>
      </c>
      <c r="AP122" s="4">
        <f>ROUND(AL122/15,0)</f>
        <v/>
      </c>
      <c r="AQ122" s="4">
        <f>ROUND(AM122/30,0)</f>
        <v/>
      </c>
      <c r="AR122" s="4" t="n"/>
      <c r="AS122" s="4" t="n"/>
      <c r="AT122" s="4">
        <f>AR122*(W122+7+30)</f>
        <v/>
      </c>
      <c r="AU122" s="4" t="n"/>
      <c r="AV122" s="4">
        <f>MAX(0,AT122-AD122-AC122)</f>
        <v/>
      </c>
      <c r="AW122" s="4" t="n"/>
      <c r="AX122" s="14">
        <f>TODAY()</f>
        <v/>
      </c>
      <c r="AY122" s="4" t="n"/>
      <c r="AZ122" s="4" t="n"/>
      <c r="BA122" s="16" t="n"/>
      <c r="BB122" s="16" t="n"/>
      <c r="BC122" s="16" t="n"/>
    </row>
    <row r="123" ht="14.25" customHeight="1" s="31">
      <c r="A123" s="4" t="n"/>
      <c r="B123" s="19" t="n"/>
      <c r="C123" s="4" t="n"/>
      <c r="D123" s="19" t="n"/>
      <c r="E123" s="19" t="n"/>
      <c r="F123" s="19" t="n"/>
      <c r="G123" s="34" t="n"/>
      <c r="H123" s="34" t="n"/>
      <c r="I123" s="34" t="n"/>
      <c r="J123" s="19" t="n"/>
      <c r="K123" s="19" t="n"/>
      <c r="L123" s="19" t="n"/>
      <c r="M123" s="19" t="n"/>
      <c r="N123" s="19" t="n"/>
      <c r="O123" s="19" t="n"/>
      <c r="P123" s="19" t="n"/>
      <c r="Q123" s="19">
        <f>ROUND((L123*M123*N123)/1000000,3)</f>
        <v/>
      </c>
      <c r="R123" s="19" t="n"/>
      <c r="S123" s="19" t="n"/>
      <c r="T123" s="4" t="n"/>
      <c r="U123" s="4" t="n"/>
      <c r="V123" s="19" t="n"/>
      <c r="W123" s="19" t="n"/>
      <c r="X123" s="4">
        <f>AR123*(W123+35+10)</f>
        <v/>
      </c>
      <c r="Y123" s="4">
        <f>AR123*(W123+35+10+45)</f>
        <v/>
      </c>
      <c r="Z123" s="4">
        <f>AA123+AB123+AC123</f>
        <v/>
      </c>
      <c r="AA123" s="4" t="n"/>
      <c r="AB123" s="4" t="n"/>
      <c r="AC123" s="4" t="n"/>
      <c r="AD123" s="4">
        <f>AA123+AB123</f>
        <v/>
      </c>
      <c r="AE123" s="13">
        <f>IF(AD123&lt;=AT123,"库存不足",IF(AD123&gt;=AT123*1.5,"库存预警","库存正常"))</f>
        <v/>
      </c>
      <c r="AF123" s="4">
        <f>MAX(AT123-AA123-AB123,0)</f>
        <v/>
      </c>
      <c r="AG123" s="4">
        <f>MAX(X123-AD123,0)</f>
        <v/>
      </c>
      <c r="AH123" s="4">
        <f>AF123-AG123</f>
        <v/>
      </c>
      <c r="AI123" s="14">
        <f>AX123+(AA123+AB123)/AR123-60</f>
        <v/>
      </c>
      <c r="AJ123" s="4" t="n"/>
      <c r="AK123" s="15" t="n"/>
      <c r="AL123" s="15" t="n"/>
      <c r="AM123" s="15" t="n"/>
      <c r="AN123" s="15" t="n"/>
      <c r="AO123" s="4">
        <f>ROUND(AK123/7,0)</f>
        <v/>
      </c>
      <c r="AP123" s="4">
        <f>ROUND(AL123/15,0)</f>
        <v/>
      </c>
      <c r="AQ123" s="4">
        <f>ROUND(AM123/30,0)</f>
        <v/>
      </c>
      <c r="AR123" s="4" t="n"/>
      <c r="AS123" s="4" t="n"/>
      <c r="AT123" s="4">
        <f>AR123*(W123+7+30)</f>
        <v/>
      </c>
      <c r="AU123" s="4" t="n"/>
      <c r="AV123" s="4">
        <f>MAX(0,AT123-AD123-AC123)</f>
        <v/>
      </c>
      <c r="AW123" s="4" t="n"/>
      <c r="AX123" s="14">
        <f>TODAY()</f>
        <v/>
      </c>
      <c r="AY123" s="4" t="n"/>
      <c r="AZ123" s="4" t="n"/>
      <c r="BA123" s="16" t="n"/>
      <c r="BB123" s="16" t="n"/>
      <c r="BC123" s="16" t="n"/>
    </row>
    <row r="124" ht="14.25" customHeight="1" s="31">
      <c r="A124" s="4" t="n"/>
      <c r="B124" s="19" t="n"/>
      <c r="C124" s="4" t="n"/>
      <c r="D124" s="19" t="n"/>
      <c r="E124" s="19" t="n"/>
      <c r="F124" s="19" t="n"/>
      <c r="G124" s="34" t="n"/>
      <c r="H124" s="34" t="n"/>
      <c r="I124" s="34" t="n"/>
      <c r="J124" s="19" t="n"/>
      <c r="K124" s="19" t="n"/>
      <c r="L124" s="19" t="n"/>
      <c r="M124" s="19" t="n"/>
      <c r="N124" s="19" t="n"/>
      <c r="O124" s="19" t="n"/>
      <c r="P124" s="19" t="n"/>
      <c r="Q124" s="19">
        <f>ROUND((L124*M124*N124)/1000000,3)</f>
        <v/>
      </c>
      <c r="R124" s="19" t="n"/>
      <c r="S124" s="19" t="n"/>
      <c r="T124" s="4" t="n"/>
      <c r="U124" s="4" t="n"/>
      <c r="V124" s="19" t="n"/>
      <c r="W124" s="19" t="n"/>
      <c r="X124" s="4">
        <f>AR124*(W124+35+10)</f>
        <v/>
      </c>
      <c r="Y124" s="4">
        <f>AR124*(W124+35+10+45)</f>
        <v/>
      </c>
      <c r="Z124" s="4">
        <f>AA124+AB124+AC124</f>
        <v/>
      </c>
      <c r="AA124" s="4" t="n"/>
      <c r="AB124" s="4" t="n"/>
      <c r="AC124" s="4" t="n"/>
      <c r="AD124" s="4">
        <f>AA124+AB124</f>
        <v/>
      </c>
      <c r="AE124" s="13">
        <f>IF(AD124&lt;=AT124,"库存不足",IF(AD124&gt;=AT124*1.5,"库存预警","库存正常"))</f>
        <v/>
      </c>
      <c r="AF124" s="4">
        <f>MAX(AT124-AA124-AB124,0)</f>
        <v/>
      </c>
      <c r="AG124" s="4">
        <f>MAX(X124-AD124,0)</f>
        <v/>
      </c>
      <c r="AH124" s="4">
        <f>AF124-AG124</f>
        <v/>
      </c>
      <c r="AI124" s="14">
        <f>AX124+(AA124+AB124)/AR124-60</f>
        <v/>
      </c>
      <c r="AJ124" s="4" t="n"/>
      <c r="AK124" s="15" t="n"/>
      <c r="AL124" s="15" t="n"/>
      <c r="AM124" s="15" t="n"/>
      <c r="AN124" s="15" t="n"/>
      <c r="AO124" s="4">
        <f>ROUND(AK124/7,0)</f>
        <v/>
      </c>
      <c r="AP124" s="4">
        <f>ROUND(AL124/15,0)</f>
        <v/>
      </c>
      <c r="AQ124" s="4">
        <f>ROUND(AM124/30,0)</f>
        <v/>
      </c>
      <c r="AR124" s="4" t="n"/>
      <c r="AS124" s="4" t="n"/>
      <c r="AT124" s="4">
        <f>AR124*(W124+7+30)</f>
        <v/>
      </c>
      <c r="AU124" s="4" t="n"/>
      <c r="AV124" s="4">
        <f>MAX(0,AT124-AD124-AC124)</f>
        <v/>
      </c>
      <c r="AW124" s="4" t="n"/>
      <c r="AX124" s="14">
        <f>TODAY()</f>
        <v/>
      </c>
      <c r="AY124" s="4" t="n"/>
      <c r="AZ124" s="4" t="n"/>
      <c r="BA124" s="16" t="n"/>
      <c r="BB124" s="16" t="n"/>
      <c r="BC124" s="16" t="n"/>
    </row>
    <row r="125" ht="14.25" customHeight="1" s="31">
      <c r="A125" s="4" t="n"/>
      <c r="B125" s="19" t="n"/>
      <c r="C125" s="19" t="n"/>
      <c r="D125" s="19" t="n"/>
      <c r="E125" s="19" t="n"/>
      <c r="F125" s="19" t="n"/>
      <c r="G125" s="34" t="n"/>
      <c r="H125" s="34" t="n"/>
      <c r="I125" s="34" t="n"/>
      <c r="J125" s="19" t="n"/>
      <c r="K125" s="19">
        <f>J125/1000</f>
        <v/>
      </c>
      <c r="L125" s="34" t="n"/>
      <c r="M125" s="34" t="n"/>
      <c r="N125" s="34" t="n"/>
      <c r="O125" s="19" t="n"/>
      <c r="P125" s="19" t="n"/>
      <c r="Q125" s="19">
        <f>ROUND((L125*M125*N125)/1000000,3)</f>
        <v/>
      </c>
      <c r="R125" s="19" t="n"/>
      <c r="S125" s="19" t="n"/>
      <c r="T125" s="4" t="n"/>
      <c r="U125" s="4" t="n"/>
      <c r="V125" s="19" t="n"/>
      <c r="W125" s="19" t="n"/>
      <c r="X125" s="4">
        <f>AR125*(W125+35+10)</f>
        <v/>
      </c>
      <c r="Y125" s="4">
        <f>AR125*(W125+35+10+45)</f>
        <v/>
      </c>
      <c r="Z125" s="4">
        <f>AA125+AB125+AC125</f>
        <v/>
      </c>
      <c r="AA125" s="4" t="n"/>
      <c r="AB125" s="4" t="n"/>
      <c r="AC125" s="4" t="n"/>
      <c r="AD125" s="4">
        <f>AA125+AB125</f>
        <v/>
      </c>
      <c r="AE125" s="13">
        <f>IF(AD125&lt;=AT125,"库存不足",IF(AD125&gt;=AT125*1.5,"库存预警","库存正常"))</f>
        <v/>
      </c>
      <c r="AF125" s="4">
        <f>MAX(AT125-AA125-AB125,0)</f>
        <v/>
      </c>
      <c r="AG125" s="4">
        <f>MAX(X125-AD125,0)</f>
        <v/>
      </c>
      <c r="AH125" s="4">
        <f>AF125-AG125</f>
        <v/>
      </c>
      <c r="AI125" s="14">
        <f>AX125+(AA125+AB125)/AR125-60</f>
        <v/>
      </c>
      <c r="AJ125" s="4" t="n"/>
      <c r="AK125" s="15" t="n"/>
      <c r="AL125" s="15" t="n"/>
      <c r="AM125" s="15" t="n"/>
      <c r="AN125" s="15" t="n"/>
      <c r="AO125" s="4">
        <f>ROUND(AK125/7,0)</f>
        <v/>
      </c>
      <c r="AP125" s="4">
        <f>ROUND(AL125/15,0)</f>
        <v/>
      </c>
      <c r="AQ125" s="4">
        <f>ROUND(AM125/30,0)</f>
        <v/>
      </c>
      <c r="AR125" s="4" t="n"/>
      <c r="AS125" s="4" t="n"/>
      <c r="AT125" s="4">
        <f>AR125*(W125+7+30)</f>
        <v/>
      </c>
      <c r="AU125" s="4" t="n"/>
      <c r="AV125" s="4">
        <f>MAX(0,AT125-AD125-AC125)</f>
        <v/>
      </c>
      <c r="AW125" s="4" t="n"/>
      <c r="AX125" s="14">
        <f>TODAY()</f>
        <v/>
      </c>
      <c r="AY125" s="4" t="n"/>
      <c r="AZ125" s="4" t="n"/>
      <c r="BA125" s="16" t="n"/>
      <c r="BB125" s="16" t="n"/>
      <c r="BC125" s="16" t="n"/>
    </row>
    <row r="126" ht="14.25" customHeight="1" s="31">
      <c r="A126" s="4" t="n"/>
      <c r="B126" s="19" t="n"/>
      <c r="C126" s="19" t="n"/>
      <c r="D126" s="19" t="n"/>
      <c r="E126" s="19" t="n"/>
      <c r="F126" s="19" t="n"/>
      <c r="G126" s="34" t="n"/>
      <c r="H126" s="34" t="n"/>
      <c r="I126" s="34" t="n"/>
      <c r="J126" s="19" t="n"/>
      <c r="K126" s="19">
        <f>J126/1000</f>
        <v/>
      </c>
      <c r="L126" s="34" t="n"/>
      <c r="M126" s="34" t="n"/>
      <c r="N126" s="34" t="n"/>
      <c r="O126" s="19" t="n"/>
      <c r="P126" s="19" t="n"/>
      <c r="Q126" s="19">
        <f>ROUND((L126*M126*N126)/1000000,3)</f>
        <v/>
      </c>
      <c r="R126" s="19" t="n"/>
      <c r="S126" s="19" t="n"/>
      <c r="T126" s="4" t="n"/>
      <c r="U126" s="4" t="n"/>
      <c r="V126" s="19" t="n"/>
      <c r="W126" s="19" t="n"/>
      <c r="X126" s="4">
        <f>AR126*(W126+35+10)</f>
        <v/>
      </c>
      <c r="Y126" s="4">
        <f>AR126*(W126+35+10+45)</f>
        <v/>
      </c>
      <c r="Z126" s="4">
        <f>AA126+AB126+AC126</f>
        <v/>
      </c>
      <c r="AA126" s="4" t="n"/>
      <c r="AB126" s="4" t="n"/>
      <c r="AC126" s="4" t="n"/>
      <c r="AD126" s="4">
        <f>AA126+AB126</f>
        <v/>
      </c>
      <c r="AE126" s="13">
        <f>IF(AD126&lt;=AT126,"库存不足",IF(AD126&gt;=AT126*1.5,"库存预警","库存正常"))</f>
        <v/>
      </c>
      <c r="AF126" s="4">
        <f>MAX(AT126-AA126-AB126,0)</f>
        <v/>
      </c>
      <c r="AG126" s="4">
        <f>MAX(X126-AD126,0)</f>
        <v/>
      </c>
      <c r="AH126" s="4">
        <f>AF126-AG126</f>
        <v/>
      </c>
      <c r="AI126" s="14">
        <f>AX126+(AA126+AB126)/AR126-60</f>
        <v/>
      </c>
      <c r="AJ126" s="4" t="n"/>
      <c r="AK126" s="15" t="n"/>
      <c r="AL126" s="15" t="n"/>
      <c r="AM126" s="15" t="n"/>
      <c r="AN126" s="15" t="n"/>
      <c r="AO126" s="4">
        <f>ROUND(AK126/7,0)</f>
        <v/>
      </c>
      <c r="AP126" s="4">
        <f>ROUND(AL126/15,0)</f>
        <v/>
      </c>
      <c r="AQ126" s="4">
        <f>ROUND(AM126/30,0)</f>
        <v/>
      </c>
      <c r="AR126" s="4" t="n"/>
      <c r="AS126" s="4" t="n"/>
      <c r="AT126" s="4">
        <f>AR126*(W126+7+30)</f>
        <v/>
      </c>
      <c r="AU126" s="4" t="n"/>
      <c r="AV126" s="4">
        <f>MAX(0,AT126-AD126-AC126)</f>
        <v/>
      </c>
      <c r="AW126" s="4" t="n"/>
      <c r="AX126" s="14">
        <f>TODAY()</f>
        <v/>
      </c>
      <c r="AY126" s="4" t="n"/>
      <c r="AZ126" s="4" t="n"/>
      <c r="BA126" s="16" t="n"/>
      <c r="BB126" s="16" t="n"/>
      <c r="BC126" s="16" t="n"/>
    </row>
    <row r="127" ht="14.25" customHeight="1" s="31">
      <c r="A127" s="4" t="n"/>
      <c r="B127" s="19" t="n"/>
      <c r="C127" s="19" t="n"/>
      <c r="D127" s="19" t="n"/>
      <c r="E127" s="19" t="n"/>
      <c r="F127" s="19" t="n"/>
      <c r="G127" s="34" t="n"/>
      <c r="H127" s="34" t="n"/>
      <c r="I127" s="34" t="n"/>
      <c r="J127" s="19">
        <f>K127*1000</f>
        <v/>
      </c>
      <c r="K127" s="19" t="n"/>
      <c r="L127" s="19" t="n"/>
      <c r="M127" s="19" t="n"/>
      <c r="N127" s="19" t="n"/>
      <c r="O127" s="19" t="n"/>
      <c r="P127" s="34" t="n"/>
      <c r="Q127" s="19">
        <f>ROUND((L127*M127*N127)/1000000,3)</f>
        <v/>
      </c>
      <c r="R127" s="19" t="n"/>
      <c r="S127" s="19" t="n"/>
      <c r="T127" s="4" t="n"/>
      <c r="U127" s="4" t="n"/>
      <c r="V127" s="19" t="n"/>
      <c r="W127" s="19" t="n"/>
      <c r="X127" s="4">
        <f>AR127*(W127+35+10)</f>
        <v/>
      </c>
      <c r="Y127" s="4">
        <f>AR127*(W127+35+10+45)</f>
        <v/>
      </c>
      <c r="Z127" s="4">
        <f>AA127+AB127+AC127</f>
        <v/>
      </c>
      <c r="AA127" s="4" t="n"/>
      <c r="AB127" s="4" t="n"/>
      <c r="AC127" s="4" t="n"/>
      <c r="AD127" s="4">
        <f>AA127+AB127</f>
        <v/>
      </c>
      <c r="AE127" s="13">
        <f>IF(AD127&lt;=AT127,"库存不足",IF(AD127&gt;=AT127*1.5,"库存预警","库存正常"))</f>
        <v/>
      </c>
      <c r="AF127" s="4">
        <f>MAX(AT127-AA127-AB127,0)</f>
        <v/>
      </c>
      <c r="AG127" s="4">
        <f>MAX(X127-AD127,0)</f>
        <v/>
      </c>
      <c r="AH127" s="4">
        <f>AF127-AG127</f>
        <v/>
      </c>
      <c r="AI127" s="14">
        <f>AX127+(AA127+AB127)/AR127-60</f>
        <v/>
      </c>
      <c r="AJ127" s="4" t="n"/>
      <c r="AK127" s="15" t="n"/>
      <c r="AL127" s="15" t="n"/>
      <c r="AM127" s="15" t="n"/>
      <c r="AN127" s="15" t="n"/>
      <c r="AO127" s="4">
        <f>ROUND(AK127/7,0)</f>
        <v/>
      </c>
      <c r="AP127" s="4">
        <f>ROUND(AL127/15,0)</f>
        <v/>
      </c>
      <c r="AQ127" s="4">
        <f>ROUND(AM127/30,0)</f>
        <v/>
      </c>
      <c r="AR127" s="4" t="n"/>
      <c r="AS127" s="4" t="n"/>
      <c r="AT127" s="4">
        <f>AR127*(W127+7+30)</f>
        <v/>
      </c>
      <c r="AU127" s="4" t="n"/>
      <c r="AV127" s="4">
        <f>MAX(0,AT127-AD127-AC127)</f>
        <v/>
      </c>
      <c r="AW127" s="4" t="n"/>
      <c r="AX127" s="14">
        <f>TODAY()</f>
        <v/>
      </c>
      <c r="AY127" s="4" t="n"/>
      <c r="AZ127" s="4" t="n"/>
      <c r="BA127" s="16" t="n"/>
      <c r="BB127" s="16" t="n"/>
      <c r="BC127" s="16" t="n"/>
    </row>
    <row r="128" ht="14.25" customHeight="1" s="31">
      <c r="A128" s="4" t="n"/>
      <c r="B128" s="19" t="n"/>
      <c r="C128" s="19" t="n"/>
      <c r="D128" s="19" t="n"/>
      <c r="E128" s="19" t="n"/>
      <c r="F128" s="19" t="n"/>
      <c r="G128" s="34" t="n"/>
      <c r="H128" s="34" t="n"/>
      <c r="I128" s="34" t="n"/>
      <c r="J128" s="19" t="n"/>
      <c r="K128" s="19" t="n"/>
      <c r="L128" s="34" t="n"/>
      <c r="M128" s="34" t="n"/>
      <c r="N128" s="34" t="n"/>
      <c r="O128" s="19" t="n"/>
      <c r="P128" s="19" t="n"/>
      <c r="Q128" s="19" t="n"/>
      <c r="R128" s="19" t="n"/>
      <c r="S128" s="19" t="n"/>
      <c r="T128" s="4" t="n"/>
      <c r="U128" s="4" t="n"/>
      <c r="V128" s="19" t="n"/>
      <c r="W128" s="19" t="n"/>
      <c r="X128" s="4">
        <f>AR128*(W128+35+10)</f>
        <v/>
      </c>
      <c r="Y128" s="4">
        <f>AR128*(W128+35+10+45)</f>
        <v/>
      </c>
      <c r="Z128" s="4">
        <f>AA128+AB128+AC128</f>
        <v/>
      </c>
      <c r="AA128" s="4" t="n"/>
      <c r="AB128" s="4" t="n"/>
      <c r="AC128" s="4" t="n"/>
      <c r="AD128" s="4">
        <f>AA128+AB128</f>
        <v/>
      </c>
      <c r="AE128" s="13">
        <f>IF(AD128&lt;=AT128,"库存不足",IF(AD128&gt;=AT128*1.5,"库存预警","库存正常"))</f>
        <v/>
      </c>
      <c r="AF128" s="4">
        <f>MAX(AT128-AA128-AB128,0)</f>
        <v/>
      </c>
      <c r="AG128" s="4">
        <f>MAX(X128-AD128,0)</f>
        <v/>
      </c>
      <c r="AH128" s="4">
        <f>AF128-AG128</f>
        <v/>
      </c>
      <c r="AI128" s="14">
        <f>AX128+(AA128+AB128)/AR128-60</f>
        <v/>
      </c>
      <c r="AJ128" s="4" t="n"/>
      <c r="AK128" s="4" t="n"/>
      <c r="AL128" s="4" t="n"/>
      <c r="AM128" s="4" t="n"/>
      <c r="AN128" s="4">
        <f>ROUND(AJ128/3,0)</f>
        <v/>
      </c>
      <c r="AO128" s="4">
        <f>ROUND(AK128/7,0)</f>
        <v/>
      </c>
      <c r="AP128" s="4">
        <f>ROUND(AL128/15,0)</f>
        <v/>
      </c>
      <c r="AQ128" s="4">
        <f>ROUND(AM128/30,0)</f>
        <v/>
      </c>
      <c r="AR128" s="4" t="n"/>
      <c r="AS128" s="4" t="n"/>
      <c r="AT128" s="4">
        <f>AR128*(W128+7+30)</f>
        <v/>
      </c>
      <c r="AU128" s="4" t="n"/>
      <c r="AV128" s="4">
        <f>MAX(0,AT128-AD128-AC128)</f>
        <v/>
      </c>
      <c r="AW128" s="4" t="n"/>
      <c r="AX128" s="14">
        <f>TODAY()</f>
        <v/>
      </c>
      <c r="AY128" s="4" t="n"/>
      <c r="AZ128" s="4" t="n"/>
      <c r="BA128" s="16" t="n"/>
      <c r="BB128" s="16" t="n"/>
      <c r="BC128" s="16" t="n"/>
    </row>
    <row r="129" ht="14.25" customHeight="1" s="31">
      <c r="A129" s="4" t="n"/>
      <c r="B129" s="19" t="n"/>
      <c r="C129" s="19" t="n"/>
      <c r="D129" s="19" t="n"/>
      <c r="E129" s="19" t="n"/>
      <c r="F129" s="19" t="n"/>
      <c r="G129" s="34" t="n"/>
      <c r="H129" s="34" t="n"/>
      <c r="I129" s="34" t="n"/>
      <c r="J129" s="19" t="n"/>
      <c r="K129" s="19" t="n"/>
      <c r="L129" s="34" t="n"/>
      <c r="M129" s="34" t="n"/>
      <c r="N129" s="34" t="n"/>
      <c r="O129" s="19" t="n"/>
      <c r="P129" s="19" t="n"/>
      <c r="Q129" s="19" t="n"/>
      <c r="R129" s="19" t="n"/>
      <c r="S129" s="19" t="n"/>
      <c r="T129" s="4" t="n"/>
      <c r="U129" s="4" t="n"/>
      <c r="V129" s="19" t="n"/>
      <c r="W129" s="19" t="n"/>
      <c r="X129" s="4">
        <f>AR129*(W129+35+10)</f>
        <v/>
      </c>
      <c r="Y129" s="4">
        <f>AR129*(W129+35+10+45)</f>
        <v/>
      </c>
      <c r="Z129" s="4">
        <f>AA129+AB129+AC129</f>
        <v/>
      </c>
      <c r="AA129" s="4" t="n"/>
      <c r="AB129" s="4" t="n"/>
      <c r="AC129" s="4" t="n"/>
      <c r="AD129" s="4">
        <f>AA129+AB129</f>
        <v/>
      </c>
      <c r="AE129" s="13">
        <f>IF(AD129&lt;=AT129,"库存不足",IF(AD129&gt;=AT129*1.5,"库存预警","库存正常"))</f>
        <v/>
      </c>
      <c r="AF129" s="4">
        <f>MAX(AT129-AA129-AB129,0)</f>
        <v/>
      </c>
      <c r="AG129" s="4">
        <f>MAX(X129-AD129,0)</f>
        <v/>
      </c>
      <c r="AH129" s="4">
        <f>AF129-AG129</f>
        <v/>
      </c>
      <c r="AI129" s="14">
        <f>AX129+(AA129+AB129)/AR129-60</f>
        <v/>
      </c>
      <c r="AJ129" s="4" t="n"/>
      <c r="AK129" s="4" t="n"/>
      <c r="AL129" s="4" t="n"/>
      <c r="AM129" s="4" t="n"/>
      <c r="AN129" s="4">
        <f>ROUND(AJ129/3,0)</f>
        <v/>
      </c>
      <c r="AO129" s="4">
        <f>ROUND(AK129/7,0)</f>
        <v/>
      </c>
      <c r="AP129" s="4">
        <f>ROUND(AL129/15,0)</f>
        <v/>
      </c>
      <c r="AQ129" s="4">
        <f>ROUND(AM129/30,0)</f>
        <v/>
      </c>
      <c r="AR129" s="4" t="n"/>
      <c r="AS129" s="4" t="n"/>
      <c r="AT129" s="4">
        <f>AR129*(W129+7+30)</f>
        <v/>
      </c>
      <c r="AU129" s="4" t="n"/>
      <c r="AV129" s="4">
        <f>MAX(0,AT129-AD129-AC129)</f>
        <v/>
      </c>
      <c r="AW129" s="4" t="n"/>
      <c r="AX129" s="14">
        <f>TODAY()</f>
        <v/>
      </c>
      <c r="AY129" s="4" t="n"/>
      <c r="AZ129" s="4" t="n"/>
      <c r="BA129" s="16" t="n"/>
      <c r="BB129" s="16" t="n"/>
      <c r="BC129" s="16" t="n"/>
    </row>
    <row r="130" ht="14.25" customHeight="1" s="31">
      <c r="A130" s="4" t="n"/>
      <c r="B130" s="19" t="n"/>
      <c r="C130" s="19" t="n"/>
      <c r="D130" s="19" t="n"/>
      <c r="E130" s="19" t="n"/>
      <c r="F130" s="19" t="n"/>
      <c r="G130" s="34" t="n"/>
      <c r="H130" s="34" t="n"/>
      <c r="I130" s="34" t="n"/>
      <c r="J130" s="19" t="n"/>
      <c r="K130" s="19" t="n"/>
      <c r="L130" s="34" t="n"/>
      <c r="M130" s="34" t="n"/>
      <c r="N130" s="34" t="n"/>
      <c r="O130" s="19" t="n"/>
      <c r="P130" s="19" t="n"/>
      <c r="Q130" s="19" t="n"/>
      <c r="R130" s="19" t="n"/>
      <c r="S130" s="19" t="n"/>
      <c r="T130" s="4" t="n"/>
      <c r="U130" s="4" t="n"/>
      <c r="V130" s="19" t="n"/>
      <c r="W130" s="19" t="n"/>
      <c r="X130" s="4">
        <f>AR130*(W130+35+10)</f>
        <v/>
      </c>
      <c r="Y130" s="4">
        <f>AR130*(W130+35+10+45)</f>
        <v/>
      </c>
      <c r="Z130" s="4">
        <f>AA130+AB130+AC130</f>
        <v/>
      </c>
      <c r="AA130" s="4" t="n"/>
      <c r="AB130" s="4" t="n"/>
      <c r="AC130" s="4" t="n"/>
      <c r="AD130" s="4">
        <f>AA130+AB130</f>
        <v/>
      </c>
      <c r="AE130" s="13">
        <f>IF(AD130&lt;=AT130,"库存不足",IF(AD130&gt;=AT130*1.5,"库存预警","库存正常"))</f>
        <v/>
      </c>
      <c r="AF130" s="4">
        <f>MAX(AT130-AA130-AB130,0)</f>
        <v/>
      </c>
      <c r="AG130" s="4">
        <f>MAX(X130-AD130,0)</f>
        <v/>
      </c>
      <c r="AH130" s="4">
        <f>AF130-AG130</f>
        <v/>
      </c>
      <c r="AI130" s="14">
        <f>AX130+(AA130+AB130)/AR130-60</f>
        <v/>
      </c>
      <c r="AJ130" s="4" t="n"/>
      <c r="AK130" s="15" t="n"/>
      <c r="AL130" s="15" t="n"/>
      <c r="AM130" s="15" t="n"/>
      <c r="AN130" s="15" t="n"/>
      <c r="AO130" s="4">
        <f>ROUND(AK130/7,0)</f>
        <v/>
      </c>
      <c r="AP130" s="4">
        <f>ROUND(AL130/15,0)</f>
        <v/>
      </c>
      <c r="AQ130" s="4">
        <f>ROUND(AM130/30,0)</f>
        <v/>
      </c>
      <c r="AR130" s="4" t="n"/>
      <c r="AS130" s="4" t="n"/>
      <c r="AT130" s="4">
        <f>AR130*(W130+7+30)</f>
        <v/>
      </c>
      <c r="AU130" s="4" t="n"/>
      <c r="AV130" s="4">
        <f>MAX(0,AT130-AD130-AC130)</f>
        <v/>
      </c>
      <c r="AW130" s="4" t="n"/>
      <c r="AX130" s="14">
        <f>TODAY()</f>
        <v/>
      </c>
      <c r="AY130" s="4" t="n"/>
      <c r="AZ130" s="4" t="n"/>
      <c r="BA130" s="16" t="n"/>
      <c r="BB130" s="16" t="n"/>
      <c r="BC130" s="16" t="n"/>
    </row>
    <row r="131" ht="14.25" customHeight="1" s="31">
      <c r="A131" s="4" t="n"/>
      <c r="B131" s="19" t="n"/>
      <c r="C131" s="19" t="n"/>
      <c r="D131" s="19" t="n"/>
      <c r="E131" s="19" t="n"/>
      <c r="F131" s="19" t="n"/>
      <c r="G131" s="34" t="n"/>
      <c r="H131" s="34" t="n"/>
      <c r="I131" s="34" t="n"/>
      <c r="J131" s="19" t="n"/>
      <c r="K131" s="19" t="n"/>
      <c r="L131" s="34" t="n"/>
      <c r="M131" s="34" t="n"/>
      <c r="N131" s="34" t="n"/>
      <c r="O131" s="19" t="n"/>
      <c r="P131" s="19" t="n"/>
      <c r="Q131" s="19" t="n"/>
      <c r="R131" s="19" t="n"/>
      <c r="S131" s="19" t="n"/>
      <c r="T131" s="4" t="n"/>
      <c r="U131" s="4" t="n"/>
      <c r="V131" s="19" t="n"/>
      <c r="W131" s="19" t="n"/>
      <c r="X131" s="4">
        <f>AR131*(W131+35+10)</f>
        <v/>
      </c>
      <c r="Y131" s="4">
        <f>AR131*(W131+35+10+45)</f>
        <v/>
      </c>
      <c r="Z131" s="4">
        <f>AA131+AB131+AC131</f>
        <v/>
      </c>
      <c r="AA131" s="4" t="n"/>
      <c r="AB131" s="4" t="n"/>
      <c r="AC131" s="4" t="n"/>
      <c r="AD131" s="4">
        <f>AA131+AB131</f>
        <v/>
      </c>
      <c r="AE131" s="13">
        <f>IF(AD131&lt;=AT131,"库存不足",IF(AD131&gt;=AT131*1.5,"库存预警","库存正常"))</f>
        <v/>
      </c>
      <c r="AF131" s="4">
        <f>MAX(AT131-AA131-AB131,0)</f>
        <v/>
      </c>
      <c r="AG131" s="4">
        <f>MAX(X131-AD131,0)</f>
        <v/>
      </c>
      <c r="AH131" s="4">
        <f>AF131-AG131</f>
        <v/>
      </c>
      <c r="AI131" s="14">
        <f>AX131+(AA131+AB131)/AR131-60</f>
        <v/>
      </c>
      <c r="AJ131" s="4" t="n"/>
      <c r="AK131" s="15" t="n"/>
      <c r="AL131" s="15" t="n"/>
      <c r="AM131" s="15" t="n"/>
      <c r="AN131" s="15" t="n"/>
      <c r="AO131" s="4">
        <f>ROUND(AK131/7,0)</f>
        <v/>
      </c>
      <c r="AP131" s="4">
        <f>ROUND(AL131/15,0)</f>
        <v/>
      </c>
      <c r="AQ131" s="4">
        <f>ROUND(AM131/30,0)</f>
        <v/>
      </c>
      <c r="AR131" s="4" t="n"/>
      <c r="AS131" s="4" t="n"/>
      <c r="AT131" s="4">
        <f>AR131*(W131+7+30)</f>
        <v/>
      </c>
      <c r="AU131" s="4" t="n"/>
      <c r="AV131" s="4">
        <f>MAX(0,AT131-AD131-AC131)</f>
        <v/>
      </c>
      <c r="AW131" s="4" t="n"/>
      <c r="AX131" s="14">
        <f>TODAY()</f>
        <v/>
      </c>
      <c r="AY131" s="4" t="n"/>
      <c r="AZ131" s="4" t="n"/>
      <c r="BA131" s="16" t="n"/>
      <c r="BB131" s="16" t="n"/>
      <c r="BC131" s="16" t="n"/>
    </row>
    <row r="132" ht="14.25" customHeight="1" s="31">
      <c r="A132" s="4" t="n"/>
      <c r="B132" s="4" t="n"/>
      <c r="C132" s="4" t="n"/>
      <c r="D132" s="19" t="n"/>
      <c r="E132" s="19" t="n"/>
      <c r="F132" s="19" t="n"/>
      <c r="G132" s="34" t="n"/>
      <c r="H132" s="34" t="n"/>
      <c r="I132" s="34" t="n"/>
      <c r="J132" s="19" t="n"/>
      <c r="K132" s="19" t="n"/>
      <c r="L132" s="19" t="n"/>
      <c r="M132" s="19" t="n"/>
      <c r="N132" s="19" t="n"/>
      <c r="O132" s="19" t="n"/>
      <c r="P132" s="19" t="n"/>
      <c r="Q132" s="19">
        <f>ROUND((L132*M132*N132)/1000000,3)</f>
        <v/>
      </c>
      <c r="R132" s="19" t="n"/>
      <c r="S132" s="19" t="n"/>
      <c r="T132" s="4" t="n"/>
      <c r="U132" s="4" t="n"/>
      <c r="V132" s="19" t="n"/>
      <c r="W132" s="19" t="n"/>
      <c r="X132" s="4">
        <f>AR132*(W132+35+10)</f>
        <v/>
      </c>
      <c r="Y132" s="4">
        <f>AR132*(W132+35+10+45)</f>
        <v/>
      </c>
      <c r="Z132" s="4">
        <f>AA132+AB132+AC132</f>
        <v/>
      </c>
      <c r="AA132" s="4" t="n"/>
      <c r="AB132" s="4" t="n"/>
      <c r="AC132" s="4" t="n"/>
      <c r="AD132" s="4">
        <f>AA132+AB132</f>
        <v/>
      </c>
      <c r="AE132" s="13">
        <f>IF(AD132&lt;=AT132,"库存不足",IF(AD132&gt;=AT132*1.5,"库存预警","库存正常"))</f>
        <v/>
      </c>
      <c r="AF132" s="4">
        <f>MAX(AT132-AA132-AB132,0)</f>
        <v/>
      </c>
      <c r="AG132" s="4">
        <f>MAX(X132-AD132,0)</f>
        <v/>
      </c>
      <c r="AH132" s="4">
        <f>AF132-AG132</f>
        <v/>
      </c>
      <c r="AI132" s="14">
        <f>AX132+(AA132+AB132)/AR132-60</f>
        <v/>
      </c>
      <c r="AJ132" s="4" t="n"/>
      <c r="AK132" s="15" t="n"/>
      <c r="AL132" s="15" t="n"/>
      <c r="AM132" s="15" t="n"/>
      <c r="AN132" s="15" t="n"/>
      <c r="AO132" s="4">
        <f>ROUND(AK132/7,0)</f>
        <v/>
      </c>
      <c r="AP132" s="4">
        <f>ROUND(AL132/15,0)</f>
        <v/>
      </c>
      <c r="AQ132" s="4">
        <f>ROUND(AM132/30,0)</f>
        <v/>
      </c>
      <c r="AR132" s="4" t="n"/>
      <c r="AS132" s="4" t="n"/>
      <c r="AT132" s="4">
        <f>AR132*(W132+7+30)</f>
        <v/>
      </c>
      <c r="AU132" s="4" t="n"/>
      <c r="AV132" s="4">
        <f>MAX(0,AT132-AD132-AC132)</f>
        <v/>
      </c>
      <c r="AW132" s="4" t="n"/>
      <c r="AX132" s="14">
        <f>TODAY()</f>
        <v/>
      </c>
      <c r="AY132" s="4" t="n"/>
      <c r="AZ132" s="4" t="n"/>
      <c r="BA132" s="16" t="n"/>
      <c r="BB132" s="16" t="n"/>
      <c r="BC132" s="16" t="n"/>
    </row>
    <row r="133" ht="14.25" customHeight="1" s="31">
      <c r="A133" s="4" t="n"/>
      <c r="B133" s="4" t="n"/>
      <c r="C133" s="4" t="n"/>
      <c r="D133" s="19" t="n"/>
      <c r="E133" s="19" t="n"/>
      <c r="F133" s="19" t="n"/>
      <c r="G133" s="34" t="n"/>
      <c r="H133" s="34" t="n"/>
      <c r="I133" s="34" t="n"/>
      <c r="J133" s="19" t="n"/>
      <c r="K133" s="19" t="n"/>
      <c r="L133" s="19" t="n"/>
      <c r="M133" s="19" t="n"/>
      <c r="N133" s="19" t="n"/>
      <c r="O133" s="19" t="n"/>
      <c r="P133" s="19" t="n"/>
      <c r="Q133" s="19">
        <f>ROUND((L133*M133*N133)/1000000,3)</f>
        <v/>
      </c>
      <c r="R133" s="19" t="n"/>
      <c r="S133" s="19" t="n"/>
      <c r="T133" s="4" t="n"/>
      <c r="U133" s="4" t="n"/>
      <c r="V133" s="19" t="n"/>
      <c r="W133" s="19" t="n"/>
      <c r="X133" s="4">
        <f>AR133*(W133+35+10)</f>
        <v/>
      </c>
      <c r="Y133" s="4">
        <f>AR133*(W133+35+10+45)</f>
        <v/>
      </c>
      <c r="Z133" s="4">
        <f>AA133+AB133+AC133</f>
        <v/>
      </c>
      <c r="AA133" s="4" t="n"/>
      <c r="AB133" s="4" t="n"/>
      <c r="AC133" s="4" t="n"/>
      <c r="AD133" s="4">
        <f>AA133+AB133</f>
        <v/>
      </c>
      <c r="AE133" s="13">
        <f>IF(AD133&lt;=AT133,"库存不足",IF(AD133&gt;=AT133*1.5,"库存预警","库存正常"))</f>
        <v/>
      </c>
      <c r="AF133" s="4">
        <f>MAX(AT133-AA133-AB133,0)</f>
        <v/>
      </c>
      <c r="AG133" s="4">
        <f>MAX(X133-AD133,0)</f>
        <v/>
      </c>
      <c r="AH133" s="4">
        <f>AF133-AG133</f>
        <v/>
      </c>
      <c r="AI133" s="14">
        <f>AX133+(AA133+AB133)/AR133-60</f>
        <v/>
      </c>
      <c r="AJ133" s="4" t="n"/>
      <c r="AK133" s="15" t="n"/>
      <c r="AL133" s="15" t="n"/>
      <c r="AM133" s="15" t="n"/>
      <c r="AN133" s="15" t="n"/>
      <c r="AO133" s="4">
        <f>ROUND(AK133/7,0)</f>
        <v/>
      </c>
      <c r="AP133" s="4">
        <f>ROUND(AL133/15,0)</f>
        <v/>
      </c>
      <c r="AQ133" s="4">
        <f>ROUND(AM133/30,0)</f>
        <v/>
      </c>
      <c r="AR133" s="4" t="n"/>
      <c r="AS133" s="4" t="n"/>
      <c r="AT133" s="4">
        <f>AR133*(W133+7+30)</f>
        <v/>
      </c>
      <c r="AU133" s="4" t="n"/>
      <c r="AV133" s="4">
        <f>MAX(0,AT133-AD133-AC133)</f>
        <v/>
      </c>
      <c r="AW133" s="4" t="n"/>
      <c r="AX133" s="14">
        <f>TODAY()</f>
        <v/>
      </c>
      <c r="AY133" s="4" t="n"/>
      <c r="AZ133" s="4" t="n"/>
      <c r="BA133" s="16" t="n"/>
      <c r="BB133" s="16" t="n"/>
      <c r="BC133" s="16" t="n"/>
    </row>
    <row r="134" ht="14.25" customHeight="1" s="31">
      <c r="A134" s="4" t="n"/>
      <c r="B134" s="19" t="n"/>
      <c r="C134" s="4" t="n"/>
      <c r="D134" s="4" t="n"/>
      <c r="E134" s="4" t="n"/>
      <c r="F134" s="19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19">
        <f>ROUND((L134*M134*N134)/1000000,3)</f>
        <v/>
      </c>
      <c r="R134" s="4" t="n"/>
      <c r="S134" s="4" t="n"/>
      <c r="T134" s="4" t="n"/>
      <c r="U134" s="4" t="n"/>
      <c r="V134" s="4" t="n"/>
      <c r="W134" s="4" t="n"/>
      <c r="X134" s="4">
        <f>AR134*(W134+35+10)</f>
        <v/>
      </c>
      <c r="Y134" s="4">
        <f>AR134*(W134+35+10+45)</f>
        <v/>
      </c>
      <c r="Z134" s="4">
        <f>AA134+AB134+AC134</f>
        <v/>
      </c>
      <c r="AA134" s="4" t="n"/>
      <c r="AB134" s="4" t="n"/>
      <c r="AC134" s="4" t="n"/>
      <c r="AD134" s="4">
        <f>AA134+AB134</f>
        <v/>
      </c>
      <c r="AE134" s="13">
        <f>IF(AD134&lt;=AT134,"库存不足",IF(AD134&gt;=AT134*1.5,"库存预警","库存正常"))</f>
        <v/>
      </c>
      <c r="AF134" s="4">
        <f>MAX(AT134-AA134-AB134,0)</f>
        <v/>
      </c>
      <c r="AG134" s="4">
        <f>MAX(X134-AD134,0)</f>
        <v/>
      </c>
      <c r="AH134" s="4">
        <f>AF134-AG134</f>
        <v/>
      </c>
      <c r="AI134" s="14">
        <f>AX134+(AA134+AB134)/AR134-60</f>
        <v/>
      </c>
      <c r="AJ134" s="4" t="n"/>
      <c r="AK134" s="15" t="n"/>
      <c r="AL134" s="15" t="n"/>
      <c r="AM134" s="15" t="n"/>
      <c r="AN134" s="15" t="n"/>
      <c r="AO134" s="4">
        <f>ROUND(AK134/7,0)</f>
        <v/>
      </c>
      <c r="AP134" s="4">
        <f>ROUND(AL134/15,0)</f>
        <v/>
      </c>
      <c r="AQ134" s="4">
        <f>ROUND(AM134/30,0)</f>
        <v/>
      </c>
      <c r="AR134" s="4" t="n"/>
      <c r="AS134" s="4" t="n"/>
      <c r="AT134" s="4">
        <f>AR134*(W134+7+30)</f>
        <v/>
      </c>
      <c r="AU134" s="4" t="n"/>
      <c r="AV134" s="4">
        <f>MAX(0,AT134-AD134-AC134)</f>
        <v/>
      </c>
      <c r="AW134" s="4" t="n"/>
      <c r="AX134" s="14">
        <f>TODAY()</f>
        <v/>
      </c>
      <c r="AY134" s="4" t="n"/>
      <c r="AZ134" s="4" t="n"/>
      <c r="BA134" s="16" t="n"/>
      <c r="BB134" s="16" t="n"/>
      <c r="BC134" s="16" t="n"/>
    </row>
    <row r="135" ht="14.25" customHeight="1" s="31">
      <c r="A135" s="4" t="n"/>
      <c r="B135" s="4" t="n"/>
      <c r="C135" s="4" t="n"/>
      <c r="D135" s="4" t="n"/>
      <c r="E135" s="4" t="n"/>
      <c r="F135" s="19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19">
        <f>ROUND((L135*M135*N135)/1000000,3)</f>
        <v/>
      </c>
      <c r="R135" s="4" t="n"/>
      <c r="S135" s="4" t="n"/>
      <c r="T135" s="4" t="n"/>
      <c r="U135" s="4" t="n"/>
      <c r="V135" s="4" t="n"/>
      <c r="W135" s="19" t="n"/>
      <c r="X135" s="4">
        <f>AR135*(W135+35+10)</f>
        <v/>
      </c>
      <c r="Y135" s="4">
        <f>AR135*(W135+35+10+45)</f>
        <v/>
      </c>
      <c r="Z135" s="4">
        <f>AA135+AB135+AC135</f>
        <v/>
      </c>
      <c r="AA135" s="4" t="n"/>
      <c r="AB135" s="4" t="n"/>
      <c r="AC135" s="4" t="n"/>
      <c r="AD135" s="4">
        <f>AA135+AB135</f>
        <v/>
      </c>
      <c r="AE135" s="13">
        <f>IF(AD135&lt;=AT135,"库存不足",IF(AD135&gt;=AT135*1.5,"库存预警","库存正常"))</f>
        <v/>
      </c>
      <c r="AF135" s="4">
        <f>MAX(AT135-AA135-AB135,0)</f>
        <v/>
      </c>
      <c r="AG135" s="4">
        <f>MAX(X135-AD135,0)</f>
        <v/>
      </c>
      <c r="AH135" s="4">
        <f>AF135-AG135</f>
        <v/>
      </c>
      <c r="AI135" s="14">
        <f>AX135+(AA135+AB135)/AR135-60</f>
        <v/>
      </c>
      <c r="AJ135" s="4" t="n"/>
      <c r="AK135" s="15" t="n"/>
      <c r="AL135" s="15" t="n"/>
      <c r="AM135" s="15" t="n"/>
      <c r="AN135" s="15" t="n"/>
      <c r="AO135" s="4">
        <f>ROUND(AK135/7,0)</f>
        <v/>
      </c>
      <c r="AP135" s="4">
        <f>ROUND(AL135/15,0)</f>
        <v/>
      </c>
      <c r="AQ135" s="4">
        <f>ROUND(AM135/30,0)</f>
        <v/>
      </c>
      <c r="AR135" s="4" t="n"/>
      <c r="AS135" s="4" t="n"/>
      <c r="AT135" s="4">
        <f>AR135*(W135+7+30)</f>
        <v/>
      </c>
      <c r="AU135" s="4" t="n"/>
      <c r="AV135" s="4">
        <f>MAX(0,AT135-AD135-AC135)</f>
        <v/>
      </c>
      <c r="AW135" s="4" t="n"/>
      <c r="AX135" s="14">
        <f>TODAY()</f>
        <v/>
      </c>
      <c r="AY135" s="4" t="n"/>
      <c r="AZ135" s="4" t="n"/>
      <c r="BA135" s="16" t="n"/>
      <c r="BB135" s="16" t="n"/>
      <c r="BC135" s="16" t="n"/>
    </row>
    <row r="136" ht="14.25" customHeight="1" s="31">
      <c r="A136" s="4" t="n"/>
      <c r="B136" s="4" t="n"/>
      <c r="C136" s="4" t="n"/>
      <c r="D136" s="4" t="n"/>
      <c r="E136" s="4" t="n"/>
      <c r="F136" s="19" t="n"/>
      <c r="G136" s="34" t="n"/>
      <c r="H136" s="34" t="n"/>
      <c r="I136" s="34" t="n"/>
      <c r="J136" s="4">
        <f>K136*1000</f>
        <v/>
      </c>
      <c r="K136" s="4" t="n"/>
      <c r="L136" s="4" t="n"/>
      <c r="M136" s="4" t="n"/>
      <c r="N136" s="4" t="n"/>
      <c r="O136" s="4" t="n"/>
      <c r="P136" s="4" t="n"/>
      <c r="Q136" s="19">
        <f>ROUND((L136*M136*N136)/1000000,3)</f>
        <v/>
      </c>
      <c r="R136" s="4" t="n"/>
      <c r="S136" s="4" t="n"/>
      <c r="T136" s="4" t="n"/>
      <c r="U136" s="4" t="n"/>
      <c r="V136" s="4" t="n"/>
      <c r="W136" s="19" t="n"/>
      <c r="X136" s="4">
        <f>AR136*(W136+35+10)</f>
        <v/>
      </c>
      <c r="Y136" s="4">
        <f>AR136*(W136+35+10+45)</f>
        <v/>
      </c>
      <c r="Z136" s="4">
        <f>AA136+AB136+AC136</f>
        <v/>
      </c>
      <c r="AA136" s="4" t="n"/>
      <c r="AB136" s="4" t="n"/>
      <c r="AC136" s="4" t="n"/>
      <c r="AD136" s="4">
        <f>AA136+AB136</f>
        <v/>
      </c>
      <c r="AE136" s="13">
        <f>IF(AD136&lt;=AT136,"库存不足",IF(AD136&gt;=AT136*1.5,"库存预警","库存正常"))</f>
        <v/>
      </c>
      <c r="AF136" s="4">
        <f>MAX(AT136-AA136-AB136,0)</f>
        <v/>
      </c>
      <c r="AG136" s="4">
        <f>MAX(X136-AD136,0)</f>
        <v/>
      </c>
      <c r="AH136" s="4">
        <f>AF136-AG136</f>
        <v/>
      </c>
      <c r="AI136" s="14">
        <f>AX136+(AA136+AB136)/AR136-60</f>
        <v/>
      </c>
      <c r="AJ136" s="4" t="n"/>
      <c r="AK136" s="15" t="n"/>
      <c r="AL136" s="15" t="n"/>
      <c r="AM136" s="15" t="n"/>
      <c r="AN136" s="15" t="n"/>
      <c r="AO136" s="4">
        <f>ROUND(AK136/7,0)</f>
        <v/>
      </c>
      <c r="AP136" s="4">
        <f>ROUND(AL136/15,0)</f>
        <v/>
      </c>
      <c r="AQ136" s="4">
        <f>ROUND(AM136/30,0)</f>
        <v/>
      </c>
      <c r="AR136" s="4" t="n"/>
      <c r="AS136" s="4" t="n"/>
      <c r="AT136" s="4">
        <f>AR136*(W136+7+30)</f>
        <v/>
      </c>
      <c r="AU136" s="4" t="n"/>
      <c r="AV136" s="4">
        <f>MAX(0,AT136-AD136-AC136)</f>
        <v/>
      </c>
      <c r="AW136" s="4" t="n"/>
      <c r="AX136" s="14">
        <f>TODAY()</f>
        <v/>
      </c>
      <c r="AY136" s="4" t="n"/>
      <c r="AZ136" s="4" t="n"/>
      <c r="BA136" s="16" t="n"/>
      <c r="BB136" s="16" t="n"/>
      <c r="BC136" s="16" t="n"/>
    </row>
    <row r="137" ht="14.25" customHeight="1" s="31">
      <c r="A137" s="4" t="n"/>
      <c r="B137" s="4" t="n"/>
      <c r="C137" s="4" t="n"/>
      <c r="D137" s="4" t="n"/>
      <c r="E137" s="4" t="n"/>
      <c r="F137" s="19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19">
        <f>ROUND((L137*M137*N137)/1000000,3)</f>
        <v/>
      </c>
      <c r="R137" s="4" t="n"/>
      <c r="S137" s="4" t="n"/>
      <c r="T137" s="4" t="n"/>
      <c r="U137" s="4" t="n"/>
      <c r="V137" s="4" t="n"/>
      <c r="W137" s="4" t="n"/>
      <c r="X137" s="4">
        <f>AR137*(W137+35+10)</f>
        <v/>
      </c>
      <c r="Y137" s="4">
        <f>AR137*(W137+35+10+45)</f>
        <v/>
      </c>
      <c r="Z137" s="4">
        <f>AA137+AB137+AC137</f>
        <v/>
      </c>
      <c r="AA137" s="4" t="n"/>
      <c r="AB137" s="4" t="n"/>
      <c r="AC137" s="4" t="n"/>
      <c r="AD137" s="4">
        <f>AA137+AB137</f>
        <v/>
      </c>
      <c r="AE137" s="13">
        <f>IF(AD137&lt;=AT137,"库存不足",IF(AD137&gt;=AT137*1.5,"库存预警","库存正常"))</f>
        <v/>
      </c>
      <c r="AF137" s="4">
        <f>MAX(AT137-AA137-AB137,0)</f>
        <v/>
      </c>
      <c r="AG137" s="4">
        <f>MAX(X137-AD137,0)</f>
        <v/>
      </c>
      <c r="AH137" s="4">
        <f>AF137-AG137</f>
        <v/>
      </c>
      <c r="AI137" s="14">
        <f>AX137+(AA137+AB137)/AR137-60</f>
        <v/>
      </c>
      <c r="AJ137" s="4" t="n"/>
      <c r="AK137" s="15" t="n"/>
      <c r="AL137" s="15" t="n"/>
      <c r="AM137" s="15" t="n"/>
      <c r="AN137" s="15" t="n"/>
      <c r="AO137" s="4">
        <f>ROUND(AK137/7,0)</f>
        <v/>
      </c>
      <c r="AP137" s="4">
        <f>ROUND(AL137/15,0)</f>
        <v/>
      </c>
      <c r="AQ137" s="4">
        <f>ROUND(AM137/30,0)</f>
        <v/>
      </c>
      <c r="AR137" s="4" t="n"/>
      <c r="AS137" s="4" t="n"/>
      <c r="AT137" s="4">
        <f>AR137*(W137+7+30)</f>
        <v/>
      </c>
      <c r="AU137" s="4" t="n"/>
      <c r="AV137" s="4">
        <f>MAX(0,AT137-AD137-AC137)</f>
        <v/>
      </c>
      <c r="AW137" s="4" t="n"/>
      <c r="AX137" s="14">
        <f>TODAY()</f>
        <v/>
      </c>
      <c r="AY137" s="4" t="n"/>
      <c r="AZ137" s="4" t="n"/>
      <c r="BA137" s="16" t="n"/>
      <c r="BB137" s="16" t="n"/>
      <c r="BC137" s="16" t="n"/>
    </row>
    <row r="138" ht="14.25" customHeight="1" s="31">
      <c r="A138" s="4" t="n"/>
      <c r="B138" s="4" t="n"/>
      <c r="C138" s="4" t="n"/>
      <c r="D138" s="4" t="n"/>
      <c r="E138" s="4" t="n"/>
      <c r="F138" s="19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19">
        <f>ROUND((L138*M138*N138)/1000000,3)</f>
        <v/>
      </c>
      <c r="R138" s="4" t="n"/>
      <c r="S138" s="4" t="n"/>
      <c r="T138" s="4" t="n"/>
      <c r="U138" s="4" t="n"/>
      <c r="V138" s="4" t="n"/>
      <c r="W138" s="4" t="n"/>
      <c r="X138" s="4">
        <f>AR138*(W138+35+10)</f>
        <v/>
      </c>
      <c r="Y138" s="4">
        <f>AR138*(W138+35+10+45)</f>
        <v/>
      </c>
      <c r="Z138" s="4">
        <f>AA138+AB138+AC138</f>
        <v/>
      </c>
      <c r="AA138" s="4" t="n"/>
      <c r="AB138" s="4" t="n"/>
      <c r="AC138" s="4" t="n"/>
      <c r="AD138" s="4">
        <f>AA138+AB138</f>
        <v/>
      </c>
      <c r="AE138" s="13">
        <f>IF(AD138&lt;=AT138,"库存不足",IF(AD138&gt;=AT138*1.5,"库存预警","库存正常"))</f>
        <v/>
      </c>
      <c r="AF138" s="4">
        <f>MAX(AT138-AA138-AB138,0)</f>
        <v/>
      </c>
      <c r="AG138" s="4">
        <f>MAX(X138-AD138,0)</f>
        <v/>
      </c>
      <c r="AH138" s="4">
        <f>AF138-AG138</f>
        <v/>
      </c>
      <c r="AI138" s="14">
        <f>AX138+(AA138+AB138)/AR138-60</f>
        <v/>
      </c>
      <c r="AJ138" s="4" t="n"/>
      <c r="AK138" s="15" t="n"/>
      <c r="AL138" s="15" t="n"/>
      <c r="AM138" s="15" t="n"/>
      <c r="AN138" s="15" t="n"/>
      <c r="AO138" s="4">
        <f>ROUND(AK138/7,0)</f>
        <v/>
      </c>
      <c r="AP138" s="4">
        <f>ROUND(AL138/15,0)</f>
        <v/>
      </c>
      <c r="AQ138" s="4">
        <f>ROUND(AM138/30,0)</f>
        <v/>
      </c>
      <c r="AR138" s="4" t="n"/>
      <c r="AS138" s="4" t="n"/>
      <c r="AT138" s="4">
        <f>AR138*(W138+7+30)</f>
        <v/>
      </c>
      <c r="AU138" s="4" t="n"/>
      <c r="AV138" s="4">
        <f>MAX(0,AT138-AD138-AC138)</f>
        <v/>
      </c>
      <c r="AW138" s="4" t="n"/>
      <c r="AX138" s="14">
        <f>TODAY()</f>
        <v/>
      </c>
      <c r="AY138" s="4" t="n"/>
      <c r="AZ138" s="4" t="n"/>
      <c r="BA138" s="16" t="n"/>
      <c r="BB138" s="16" t="n"/>
      <c r="BC138" s="16" t="n"/>
    </row>
    <row r="139" ht="14.25" customHeight="1" s="31">
      <c r="A139" s="4" t="n"/>
      <c r="B139" s="4" t="n"/>
      <c r="C139" s="4" t="n"/>
      <c r="D139" s="4" t="n"/>
      <c r="E139" s="4" t="n"/>
      <c r="F139" s="19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19">
        <f>ROUND((L139*M139*N139)/1000000,3)</f>
        <v/>
      </c>
      <c r="R139" s="4" t="n"/>
      <c r="S139" s="4" t="n"/>
      <c r="T139" s="4" t="n"/>
      <c r="U139" s="4" t="n"/>
      <c r="V139" s="4" t="n"/>
      <c r="W139" s="4" t="n"/>
      <c r="X139" s="4">
        <f>AR139*(W139+35+10)</f>
        <v/>
      </c>
      <c r="Y139" s="4">
        <f>AR139*(W139+35+10+45)</f>
        <v/>
      </c>
      <c r="Z139" s="4">
        <f>AA139+AB139+AC139</f>
        <v/>
      </c>
      <c r="AA139" s="4" t="n"/>
      <c r="AB139" s="4" t="n"/>
      <c r="AC139" s="4" t="n"/>
      <c r="AD139" s="4">
        <f>AA139+AB139</f>
        <v/>
      </c>
      <c r="AE139" s="13">
        <f>IF(AD139&lt;=AT139,"库存不足",IF(AD139&gt;=AT139*1.5,"库存预警","库存正常"))</f>
        <v/>
      </c>
      <c r="AF139" s="4">
        <f>MAX(AT139-AA139-AB139,0)</f>
        <v/>
      </c>
      <c r="AG139" s="4">
        <f>MAX(X139-AD139,0)</f>
        <v/>
      </c>
      <c r="AH139" s="4">
        <f>AF139-AG139</f>
        <v/>
      </c>
      <c r="AI139" s="14">
        <f>AX139+(AA139+AB139)/AR139-60</f>
        <v/>
      </c>
      <c r="AJ139" s="4" t="n"/>
      <c r="AK139" s="15" t="n"/>
      <c r="AL139" s="15" t="n"/>
      <c r="AM139" s="15" t="n"/>
      <c r="AN139" s="15" t="n"/>
      <c r="AO139" s="4">
        <f>ROUND(AK139/7,0)</f>
        <v/>
      </c>
      <c r="AP139" s="4">
        <f>ROUND(AL139/15,0)</f>
        <v/>
      </c>
      <c r="AQ139" s="4">
        <f>ROUND(AM139/30,0)</f>
        <v/>
      </c>
      <c r="AR139" s="4" t="n"/>
      <c r="AS139" s="4" t="n"/>
      <c r="AT139" s="4">
        <f>AR139*(W139+7+30)</f>
        <v/>
      </c>
      <c r="AU139" s="4" t="n"/>
      <c r="AV139" s="4">
        <f>MAX(0,AT139-AD139-AC139)</f>
        <v/>
      </c>
      <c r="AW139" s="4" t="n"/>
      <c r="AX139" s="14">
        <f>TODAY()</f>
        <v/>
      </c>
      <c r="AY139" s="4" t="n"/>
      <c r="AZ139" s="4" t="n"/>
      <c r="BA139" s="16" t="n"/>
      <c r="BB139" s="16" t="n"/>
      <c r="BC139" s="16" t="n"/>
    </row>
    <row r="140" ht="14.25" customHeight="1" s="31">
      <c r="A140" s="4" t="n"/>
      <c r="B140" s="4" t="n"/>
      <c r="C140" s="4" t="n"/>
      <c r="D140" s="4" t="n"/>
      <c r="E140" s="4" t="n"/>
      <c r="F140" s="4" t="n"/>
      <c r="G140" s="20" t="n"/>
      <c r="H140" s="20" t="n"/>
      <c r="I140" s="20" t="n"/>
      <c r="J140" s="20" t="n"/>
      <c r="K140" s="20" t="n"/>
      <c r="L140" s="20" t="n"/>
      <c r="M140" s="20" t="n"/>
      <c r="N140" s="20" t="n"/>
      <c r="O140" s="19" t="n"/>
      <c r="P140" s="20" t="n"/>
      <c r="Q140" s="20" t="n"/>
      <c r="R140" s="20" t="n"/>
      <c r="S140" s="20" t="n"/>
      <c r="T140" s="4" t="n"/>
      <c r="U140" s="4" t="n"/>
      <c r="V140" s="4" t="n"/>
      <c r="W140" s="4" t="n"/>
      <c r="X140" s="4">
        <f>AR140*(W140+30)</f>
        <v/>
      </c>
      <c r="Y140" s="4" t="n"/>
      <c r="Z140" s="4">
        <f>AA140+AB140+AC140</f>
        <v/>
      </c>
      <c r="AA140" s="4" t="n"/>
      <c r="AB140" s="4" t="n"/>
      <c r="AC140" s="4" t="n"/>
      <c r="AD140" s="4">
        <f>AA140+AB140</f>
        <v/>
      </c>
      <c r="AE140" s="13">
        <f>IF(AD140&lt;=AT140,"库存不足",IF(AD140&gt;=AT140*1.5,"库存预警","库存正常"))</f>
        <v/>
      </c>
      <c r="AF140" s="4">
        <f>MAX(AT140-AA140-AB140,0)</f>
        <v/>
      </c>
      <c r="AG140" s="4">
        <f>MAX(X140-AD140,0)</f>
        <v/>
      </c>
      <c r="AH140" s="4">
        <f>AF140-AG140</f>
        <v/>
      </c>
      <c r="AI140" s="14">
        <f>AX140+(AA140+AB140)/AR140-60</f>
        <v/>
      </c>
      <c r="AJ140" s="4" t="n"/>
      <c r="AK140" s="4" t="n"/>
      <c r="AL140" s="4" t="n"/>
      <c r="AM140" s="4" t="n"/>
      <c r="AN140" s="15" t="n"/>
      <c r="AO140" s="4">
        <f>ROUND(AK140/7,0)</f>
        <v/>
      </c>
      <c r="AP140" s="4">
        <f>ROUND(AL140/15,0)</f>
        <v/>
      </c>
      <c r="AQ140" s="4">
        <f>ROUND(AM140/30,0)</f>
        <v/>
      </c>
      <c r="AR140" s="4" t="n"/>
      <c r="AS140" s="4" t="n"/>
      <c r="AT140" s="4">
        <f>AR140*(W140+7+30)</f>
        <v/>
      </c>
      <c r="AU140" s="35" t="n"/>
      <c r="AV140" s="4">
        <f>MAX(0,AT140-AD140-AC140)</f>
        <v/>
      </c>
      <c r="AW140" s="4" t="n"/>
      <c r="AX140" s="14">
        <f>TODAY()</f>
        <v/>
      </c>
      <c r="AY140" s="4" t="n"/>
      <c r="AZ140" s="4" t="n"/>
      <c r="BA140" s="16" t="n"/>
      <c r="BB140" s="16" t="n"/>
      <c r="BC140" s="16" t="n"/>
    </row>
    <row r="141" ht="14.25" customHeight="1" s="31">
      <c r="A141" s="4" t="n"/>
      <c r="B141" s="4" t="n"/>
      <c r="C141" s="4" t="n"/>
      <c r="D141" s="4" t="n"/>
      <c r="E141" s="4" t="n"/>
      <c r="F141" s="4" t="n"/>
      <c r="G141" s="20" t="n"/>
      <c r="H141" s="20" t="n"/>
      <c r="I141" s="20" t="n"/>
      <c r="J141" s="20" t="n"/>
      <c r="K141" s="20" t="n"/>
      <c r="L141" s="20" t="n"/>
      <c r="M141" s="20" t="n"/>
      <c r="N141" s="20" t="n"/>
      <c r="O141" s="19" t="n"/>
      <c r="P141" s="20" t="n"/>
      <c r="Q141" s="20" t="n"/>
      <c r="R141" s="20" t="n"/>
      <c r="S141" s="20" t="n"/>
      <c r="T141" s="4" t="n"/>
      <c r="U141" s="4" t="n"/>
      <c r="V141" s="4" t="n"/>
      <c r="W141" s="4" t="n"/>
      <c r="X141" s="4">
        <f>AR141*(W141+30)</f>
        <v/>
      </c>
      <c r="Y141" s="4" t="n"/>
      <c r="Z141" s="4">
        <f>AA141+AB141+AC141</f>
        <v/>
      </c>
      <c r="AA141" s="4" t="n"/>
      <c r="AB141" s="4" t="n"/>
      <c r="AC141" s="4" t="n"/>
      <c r="AD141" s="4">
        <f>AA141+AB141</f>
        <v/>
      </c>
      <c r="AE141" s="13">
        <f>IF(AD141&lt;=AT141,"库存不足",IF(AD141&gt;=AT141*1.5,"库存预警","库存正常"))</f>
        <v/>
      </c>
      <c r="AF141" s="4">
        <f>MAX(AT141-AA141-AB141,0)</f>
        <v/>
      </c>
      <c r="AG141" s="4">
        <f>MAX(X141-AD141,0)</f>
        <v/>
      </c>
      <c r="AH141" s="4">
        <f>AF141-AG141</f>
        <v/>
      </c>
      <c r="AI141" s="14">
        <f>AX141+(AA141+AB141)/AR141-60</f>
        <v/>
      </c>
      <c r="AJ141" s="4" t="n"/>
      <c r="AK141" s="4" t="n"/>
      <c r="AL141" s="4" t="n"/>
      <c r="AM141" s="4" t="n"/>
      <c r="AN141" s="15" t="n"/>
      <c r="AO141" s="4">
        <f>ROUND(AK141/7,0)</f>
        <v/>
      </c>
      <c r="AP141" s="4">
        <f>ROUND(AL141/15,0)</f>
        <v/>
      </c>
      <c r="AQ141" s="4">
        <f>ROUND(AM141/30,0)</f>
        <v/>
      </c>
      <c r="AR141" s="4" t="n"/>
      <c r="AS141" s="4" t="n"/>
      <c r="AT141" s="4">
        <f>AR141*(W141+7+30)</f>
        <v/>
      </c>
      <c r="AU141" s="35" t="n"/>
      <c r="AV141" s="4">
        <f>MAX(0,AT141-AD141-AC141)</f>
        <v/>
      </c>
      <c r="AW141" s="4" t="n"/>
      <c r="AX141" s="14">
        <f>TODAY()</f>
        <v/>
      </c>
      <c r="AY141" s="4" t="n"/>
      <c r="AZ141" s="4" t="n"/>
      <c r="BA141" s="16" t="n"/>
      <c r="BB141" s="16" t="n"/>
      <c r="BC141" s="16" t="n"/>
    </row>
    <row r="142" ht="14.25" customHeight="1" s="31">
      <c r="A142" s="4" t="n"/>
      <c r="B142" s="4" t="n"/>
      <c r="C142" s="4" t="n"/>
      <c r="D142" s="4" t="n"/>
      <c r="E142" s="4" t="n"/>
      <c r="F142" s="4" t="n"/>
      <c r="G142" s="20" t="n"/>
      <c r="H142" s="20" t="n"/>
      <c r="I142" s="20" t="n"/>
      <c r="J142" s="20" t="n"/>
      <c r="K142" s="20" t="n"/>
      <c r="L142" s="20" t="n"/>
      <c r="M142" s="20" t="n"/>
      <c r="N142" s="20" t="n"/>
      <c r="O142" s="19" t="n"/>
      <c r="P142" s="20" t="n"/>
      <c r="Q142" s="20" t="n"/>
      <c r="R142" s="20" t="n"/>
      <c r="S142" s="20" t="n"/>
      <c r="T142" s="4" t="n"/>
      <c r="U142" s="4" t="n"/>
      <c r="V142" s="4" t="n"/>
      <c r="W142" s="4" t="n"/>
      <c r="X142" s="4">
        <f>AR142*(W142+30)</f>
        <v/>
      </c>
      <c r="Y142" s="4" t="n"/>
      <c r="Z142" s="4">
        <f>AA142+AB142+AC142</f>
        <v/>
      </c>
      <c r="AA142" s="4" t="n"/>
      <c r="AB142" s="4" t="n"/>
      <c r="AC142" s="4" t="n"/>
      <c r="AD142" s="4">
        <f>AA142+AB142</f>
        <v/>
      </c>
      <c r="AE142" s="13">
        <f>IF(AD142&lt;=AT142,"库存不足",IF(AD142&gt;=AT142*1.5,"库存预警","库存正常"))</f>
        <v/>
      </c>
      <c r="AF142" s="4">
        <f>MAX(AT142-AA142-AB142,0)</f>
        <v/>
      </c>
      <c r="AG142" s="4">
        <f>MAX(X142-AD142,0)</f>
        <v/>
      </c>
      <c r="AH142" s="4">
        <f>AF142-AG142</f>
        <v/>
      </c>
      <c r="AI142" s="14">
        <f>AX142+(AA142+AB142)/AR142-60</f>
        <v/>
      </c>
      <c r="AJ142" s="4" t="n"/>
      <c r="AK142" s="4" t="n"/>
      <c r="AL142" s="4" t="n"/>
      <c r="AM142" s="4" t="n"/>
      <c r="AN142" s="15" t="n"/>
      <c r="AO142" s="4">
        <f>ROUND(AK142/7,0)</f>
        <v/>
      </c>
      <c r="AP142" s="4">
        <f>ROUND(AL142/15,0)</f>
        <v/>
      </c>
      <c r="AQ142" s="4">
        <f>ROUND(AM142/30,0)</f>
        <v/>
      </c>
      <c r="AR142" s="4" t="n"/>
      <c r="AS142" s="4" t="n"/>
      <c r="AT142" s="4">
        <f>AR142*(W142+7+30)</f>
        <v/>
      </c>
      <c r="AU142" s="35" t="n"/>
      <c r="AV142" s="4">
        <f>MAX(0,AT142-AD142-AC142)</f>
        <v/>
      </c>
      <c r="AW142" s="4" t="n"/>
      <c r="AX142" s="14">
        <f>TODAY()</f>
        <v/>
      </c>
      <c r="AY142" s="4" t="n"/>
      <c r="AZ142" s="4" t="n"/>
      <c r="BA142" s="16" t="n"/>
      <c r="BB142" s="16" t="n"/>
      <c r="BC142" s="16" t="n"/>
    </row>
    <row r="143" ht="14.25" customHeight="1" s="31">
      <c r="A143" s="4" t="n"/>
      <c r="B143" s="4" t="n"/>
      <c r="C143" s="4" t="n"/>
      <c r="D143" s="4" t="n"/>
      <c r="E143" s="4" t="n"/>
      <c r="F143" s="4" t="n"/>
      <c r="G143" s="20" t="n"/>
      <c r="H143" s="20" t="n"/>
      <c r="I143" s="20" t="n"/>
      <c r="J143" s="20" t="n"/>
      <c r="K143" s="20" t="n"/>
      <c r="L143" s="20" t="n"/>
      <c r="M143" s="20" t="n"/>
      <c r="N143" s="20" t="n"/>
      <c r="O143" s="19" t="n"/>
      <c r="P143" s="20" t="n"/>
      <c r="Q143" s="20" t="n"/>
      <c r="R143" s="20" t="n"/>
      <c r="S143" s="20" t="n"/>
      <c r="T143" s="4" t="n"/>
      <c r="U143" s="4" t="n"/>
      <c r="V143" s="4" t="n"/>
      <c r="W143" s="4" t="n"/>
      <c r="X143" s="4">
        <f>AR143*(W143+30)</f>
        <v/>
      </c>
      <c r="Y143" s="4" t="n"/>
      <c r="Z143" s="4">
        <f>AA143+AB143+AC143</f>
        <v/>
      </c>
      <c r="AA143" s="4" t="n"/>
      <c r="AB143" s="4" t="n"/>
      <c r="AC143" s="4" t="n"/>
      <c r="AD143" s="4">
        <f>AA143+AB143</f>
        <v/>
      </c>
      <c r="AE143" s="13">
        <f>IF(AD143&lt;=AT143,"库存不足",IF(AD143&gt;=AT143*1.5,"库存预警","库存正常"))</f>
        <v/>
      </c>
      <c r="AF143" s="4">
        <f>MAX(AT143-AA143-AB143,0)</f>
        <v/>
      </c>
      <c r="AG143" s="4">
        <f>MAX(X143-AD143,0)</f>
        <v/>
      </c>
      <c r="AH143" s="4">
        <f>AF143-AG143</f>
        <v/>
      </c>
      <c r="AI143" s="14">
        <f>AX143+(AA143+AB143)/AR143-60</f>
        <v/>
      </c>
      <c r="AJ143" s="4" t="n"/>
      <c r="AK143" s="4" t="n"/>
      <c r="AL143" s="4" t="n"/>
      <c r="AM143" s="4" t="n"/>
      <c r="AN143" s="15" t="n"/>
      <c r="AO143" s="4">
        <f>ROUND(AK143/7,0)</f>
        <v/>
      </c>
      <c r="AP143" s="4">
        <f>ROUND(AL143/15,0)</f>
        <v/>
      </c>
      <c r="AQ143" s="4">
        <f>ROUND(AM143/30,0)</f>
        <v/>
      </c>
      <c r="AR143" s="4" t="n"/>
      <c r="AS143" s="4" t="n"/>
      <c r="AT143" s="4">
        <f>AR143*(W143+7+30)</f>
        <v/>
      </c>
      <c r="AU143" s="35" t="n"/>
      <c r="AV143" s="4">
        <f>MAX(0,AT143-AD143-AC143)</f>
        <v/>
      </c>
      <c r="AW143" s="4" t="n"/>
      <c r="AX143" s="14">
        <f>TODAY()</f>
        <v/>
      </c>
      <c r="AY143" s="4" t="n"/>
      <c r="AZ143" s="4" t="n"/>
      <c r="BA143" s="16" t="n"/>
      <c r="BB143" s="16" t="n"/>
      <c r="BC143" s="16" t="n"/>
    </row>
    <row r="144" ht="14.25" customHeight="1" s="31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19" t="n"/>
      <c r="R144" s="4" t="n"/>
      <c r="S144" s="4" t="n"/>
      <c r="T144" s="4" t="n"/>
      <c r="U144" s="4" t="n"/>
      <c r="V144" s="4" t="n"/>
      <c r="W144" s="4" t="n"/>
      <c r="X144" s="4">
        <f>AR144*(W144+30)</f>
        <v/>
      </c>
      <c r="Y144" s="4" t="n"/>
      <c r="Z144" s="4">
        <f>AA144+AB144+AC144</f>
        <v/>
      </c>
      <c r="AA144" s="4" t="n"/>
      <c r="AB144" s="4" t="n"/>
      <c r="AC144" s="4" t="n"/>
      <c r="AD144" s="4">
        <f>AA144+AB144</f>
        <v/>
      </c>
      <c r="AE144" s="13">
        <f>IF(AD144&lt;=AT144,"库存不足",IF(AD144&gt;=AT144*1.5,"库存预警","库存正常"))</f>
        <v/>
      </c>
      <c r="AF144" s="4">
        <f>MAX(AT144-AA144-AB144,0)</f>
        <v/>
      </c>
      <c r="AG144" s="4">
        <f>MAX(X144-AD144,0)</f>
        <v/>
      </c>
      <c r="AH144" s="4">
        <f>AF144-AG144</f>
        <v/>
      </c>
      <c r="AI144" s="14">
        <f>AX144+(AA144+AB144)/AR144-60</f>
        <v/>
      </c>
      <c r="AJ144" s="4" t="n"/>
      <c r="AK144" s="4" t="n"/>
      <c r="AL144" s="4" t="n"/>
      <c r="AM144" s="4" t="n"/>
      <c r="AN144" s="15" t="n"/>
      <c r="AO144" s="4">
        <f>ROUND(AK144/7,0)</f>
        <v/>
      </c>
      <c r="AP144" s="4">
        <f>ROUND(AL144/15,0)</f>
        <v/>
      </c>
      <c r="AQ144" s="4">
        <f>ROUND(AM144/30,0)</f>
        <v/>
      </c>
      <c r="AR144" s="4" t="n"/>
      <c r="AS144" s="4" t="n"/>
      <c r="AT144" s="4">
        <f>AR144*(W144+7+30)</f>
        <v/>
      </c>
      <c r="AU144" s="35" t="n"/>
      <c r="AV144" s="4">
        <f>MAX(0,AT144-AD144-AC144)</f>
        <v/>
      </c>
      <c r="AW144" s="4" t="n"/>
      <c r="AX144" s="14">
        <f>TODAY()</f>
        <v/>
      </c>
      <c r="AY144" s="4" t="n"/>
      <c r="AZ144" s="4" t="n"/>
      <c r="BA144" s="16" t="n"/>
      <c r="BB144" s="16" t="n"/>
      <c r="BC144" s="16" t="n"/>
    </row>
    <row r="145" ht="14.25" customHeight="1" s="31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19" t="n"/>
      <c r="R145" s="4" t="n"/>
      <c r="S145" s="4" t="n"/>
      <c r="T145" s="4" t="n"/>
      <c r="U145" s="4" t="n"/>
      <c r="V145" s="4" t="n"/>
      <c r="W145" s="4" t="n"/>
      <c r="X145" s="4">
        <f>AR145*(W145+30)</f>
        <v/>
      </c>
      <c r="Y145" s="4" t="n"/>
      <c r="Z145" s="4">
        <f>AA145+AB145+AC145</f>
        <v/>
      </c>
      <c r="AA145" s="4" t="n"/>
      <c r="AB145" s="4" t="n"/>
      <c r="AC145" s="4" t="n"/>
      <c r="AD145" s="4">
        <f>AA145+AB145</f>
        <v/>
      </c>
      <c r="AE145" s="13">
        <f>IF(AD145&lt;=AT145,"库存不足",IF(AD145&gt;=AT145*1.5,"库存预警","库存正常"))</f>
        <v/>
      </c>
      <c r="AF145" s="4">
        <f>MAX(AT145-AA145-AB145,0)</f>
        <v/>
      </c>
      <c r="AG145" s="4">
        <f>MAX(X145-AD145,0)</f>
        <v/>
      </c>
      <c r="AH145" s="4">
        <f>AF145-AG145</f>
        <v/>
      </c>
      <c r="AI145" s="14">
        <f>AX145+(AA145+AB145)/AR145-60</f>
        <v/>
      </c>
      <c r="AJ145" s="4" t="n"/>
      <c r="AK145" s="4" t="n"/>
      <c r="AL145" s="4" t="n"/>
      <c r="AM145" s="4" t="n"/>
      <c r="AN145" s="15" t="n"/>
      <c r="AO145" s="4">
        <f>ROUND(AK145/7,0)</f>
        <v/>
      </c>
      <c r="AP145" s="4">
        <f>ROUND(AL145/15,0)</f>
        <v/>
      </c>
      <c r="AQ145" s="4">
        <f>ROUND(AM145/30,0)</f>
        <v/>
      </c>
      <c r="AR145" s="4" t="n"/>
      <c r="AS145" s="4" t="n"/>
      <c r="AT145" s="4">
        <f>AR145*(W145+7+30)</f>
        <v/>
      </c>
      <c r="AU145" s="35" t="n"/>
      <c r="AV145" s="4">
        <f>MAX(0,AT145-AD145-AC145)</f>
        <v/>
      </c>
      <c r="AW145" s="4" t="n"/>
      <c r="AX145" s="14">
        <f>TODAY()</f>
        <v/>
      </c>
      <c r="AY145" s="4" t="n"/>
      <c r="AZ145" s="4" t="n"/>
      <c r="BA145" s="16" t="n"/>
      <c r="BB145" s="16" t="n"/>
      <c r="BC145" s="16" t="n"/>
    </row>
    <row r="146" ht="14.25" customHeight="1" s="31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19" t="n"/>
      <c r="R146" s="4" t="n"/>
      <c r="S146" s="4" t="n"/>
      <c r="T146" s="4" t="n"/>
      <c r="U146" s="4" t="n"/>
      <c r="V146" s="4" t="n"/>
      <c r="W146" s="4" t="n"/>
      <c r="X146" s="4">
        <f>AR146*(W146+30)</f>
        <v/>
      </c>
      <c r="Y146" s="4" t="n"/>
      <c r="Z146" s="4">
        <f>AA146+AB146+AC146</f>
        <v/>
      </c>
      <c r="AA146" s="4" t="n"/>
      <c r="AB146" s="4" t="n"/>
      <c r="AC146" s="4" t="n"/>
      <c r="AD146" s="4">
        <f>AA146+AB146</f>
        <v/>
      </c>
      <c r="AE146" s="13">
        <f>IF(AD146&lt;=AT146,"库存不足",IF(AD146&gt;=AT146*1.5,"库存预警","库存正常"))</f>
        <v/>
      </c>
      <c r="AF146" s="4">
        <f>MAX(AT146-AA146-AB146,0)</f>
        <v/>
      </c>
      <c r="AG146" s="4">
        <f>MAX(X146-AD146,0)</f>
        <v/>
      </c>
      <c r="AH146" s="4">
        <f>AF146-AG146</f>
        <v/>
      </c>
      <c r="AI146" s="14">
        <f>AX146+(AA146+AB146)/AR146-60</f>
        <v/>
      </c>
      <c r="AJ146" s="4" t="n"/>
      <c r="AK146" s="4" t="n"/>
      <c r="AL146" s="4" t="n"/>
      <c r="AM146" s="4" t="n"/>
      <c r="AN146" s="15" t="n"/>
      <c r="AO146" s="4">
        <f>ROUND(AK146/7,0)</f>
        <v/>
      </c>
      <c r="AP146" s="4">
        <f>ROUND(AL146/15,0)</f>
        <v/>
      </c>
      <c r="AQ146" s="4">
        <f>ROUND(AM146/30,0)</f>
        <v/>
      </c>
      <c r="AR146" s="4" t="n"/>
      <c r="AS146" s="4" t="n"/>
      <c r="AT146" s="4">
        <f>AR146*(W146+7+30)</f>
        <v/>
      </c>
      <c r="AU146" s="35" t="n"/>
      <c r="AV146" s="4">
        <f>MAX(0,AT146-AD146-AC146)</f>
        <v/>
      </c>
      <c r="AW146" s="4" t="n"/>
      <c r="AX146" s="14">
        <f>TODAY()</f>
        <v/>
      </c>
      <c r="AY146" s="4" t="n"/>
      <c r="AZ146" s="4" t="n"/>
      <c r="BA146" s="16" t="n"/>
      <c r="BB146" s="16" t="n"/>
      <c r="BC146" s="16" t="n"/>
    </row>
    <row r="147" ht="14.25" customHeight="1" s="31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19" t="n"/>
      <c r="R147" s="4" t="n"/>
      <c r="S147" s="4" t="n"/>
      <c r="T147" s="4" t="n"/>
      <c r="U147" s="4" t="n"/>
      <c r="V147" s="4" t="n"/>
      <c r="W147" s="4" t="n"/>
      <c r="X147" s="4">
        <f>AR147*(W147+30)</f>
        <v/>
      </c>
      <c r="Y147" s="4" t="n"/>
      <c r="Z147" s="4">
        <f>AA147+AB147+AC147</f>
        <v/>
      </c>
      <c r="AA147" s="4" t="n"/>
      <c r="AB147" s="4" t="n"/>
      <c r="AC147" s="4" t="n"/>
      <c r="AD147" s="4">
        <f>AA147+AB147</f>
        <v/>
      </c>
      <c r="AE147" s="13">
        <f>IF(AD147&lt;=AT147,"库存不足",IF(AD147&gt;=AT147*1.5,"库存预警","库存正常"))</f>
        <v/>
      </c>
      <c r="AF147" s="4">
        <f>MAX(AT147-AA147-AB147,0)</f>
        <v/>
      </c>
      <c r="AG147" s="4">
        <f>MAX(X147-AD147,0)</f>
        <v/>
      </c>
      <c r="AH147" s="4">
        <f>AF147-AG147</f>
        <v/>
      </c>
      <c r="AI147" s="14">
        <f>AX147+(AA147+AB147)/AR147-60</f>
        <v/>
      </c>
      <c r="AJ147" s="4" t="n"/>
      <c r="AK147" s="4" t="n"/>
      <c r="AL147" s="4" t="n"/>
      <c r="AM147" s="4" t="n"/>
      <c r="AN147" s="15" t="n"/>
      <c r="AO147" s="4">
        <f>ROUND(AK147/7,0)</f>
        <v/>
      </c>
      <c r="AP147" s="4">
        <f>ROUND(AL147/15,0)</f>
        <v/>
      </c>
      <c r="AQ147" s="4">
        <f>ROUND(AM147/30,0)</f>
        <v/>
      </c>
      <c r="AR147" s="4" t="n"/>
      <c r="AS147" s="4" t="n"/>
      <c r="AT147" s="4">
        <f>AR147*(W147+7+30)</f>
        <v/>
      </c>
      <c r="AU147" s="35" t="n"/>
      <c r="AV147" s="4">
        <f>MAX(0,AT147-AD147-AC147)</f>
        <v/>
      </c>
      <c r="AW147" s="4" t="n"/>
      <c r="AX147" s="14">
        <f>TODAY()</f>
        <v/>
      </c>
      <c r="AY147" s="4" t="n"/>
      <c r="AZ147" s="4" t="n"/>
      <c r="BA147" s="16" t="n"/>
      <c r="BB147" s="16" t="n"/>
      <c r="BC147" s="16" t="n"/>
    </row>
    <row r="148" ht="14.25" customHeight="1" s="31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19" t="n"/>
      <c r="R148" s="4" t="n"/>
      <c r="S148" s="4" t="n"/>
      <c r="T148" s="4" t="n"/>
      <c r="U148" s="4" t="n"/>
      <c r="V148" s="4" t="n"/>
      <c r="W148" s="4" t="n"/>
      <c r="X148" s="4">
        <f>AR148*(W148+30)</f>
        <v/>
      </c>
      <c r="Y148" s="4" t="n"/>
      <c r="Z148" s="4">
        <f>AA148+AB148+AC148</f>
        <v/>
      </c>
      <c r="AA148" s="4" t="n"/>
      <c r="AB148" s="4" t="n"/>
      <c r="AC148" s="4" t="n"/>
      <c r="AD148" s="4">
        <f>AA148+AB148</f>
        <v/>
      </c>
      <c r="AE148" s="13">
        <f>IF(AD148&lt;=AT148,"库存不足",IF(AD148&gt;=AT148*1.5,"库存预警","库存正常"))</f>
        <v/>
      </c>
      <c r="AF148" s="4">
        <f>MAX(AT148-AA148-AB148,0)</f>
        <v/>
      </c>
      <c r="AG148" s="4">
        <f>MAX(X148-AD148,0)</f>
        <v/>
      </c>
      <c r="AH148" s="4">
        <f>AF148-AG148</f>
        <v/>
      </c>
      <c r="AI148" s="14">
        <f>AX148+(AA148+AB148)/AR148-60</f>
        <v/>
      </c>
      <c r="AJ148" s="4" t="n"/>
      <c r="AK148" s="4" t="n"/>
      <c r="AL148" s="4" t="n"/>
      <c r="AM148" s="4" t="n"/>
      <c r="AN148" s="15" t="n"/>
      <c r="AO148" s="4">
        <f>ROUND(AK148/7,0)</f>
        <v/>
      </c>
      <c r="AP148" s="4">
        <f>ROUND(AL148/15,0)</f>
        <v/>
      </c>
      <c r="AQ148" s="4">
        <f>ROUND(AM148/30,0)</f>
        <v/>
      </c>
      <c r="AR148" s="4" t="n"/>
      <c r="AS148" s="4" t="n"/>
      <c r="AT148" s="4">
        <f>AR148*(W148+7+30)</f>
        <v/>
      </c>
      <c r="AU148" s="35" t="n"/>
      <c r="AV148" s="4">
        <f>MAX(0,AT148-AD148-AC148)</f>
        <v/>
      </c>
      <c r="AW148" s="4" t="n"/>
      <c r="AX148" s="14">
        <f>TODAY()</f>
        <v/>
      </c>
      <c r="AY148" s="4" t="n"/>
      <c r="AZ148" s="4" t="n"/>
      <c r="BA148" s="16" t="n"/>
      <c r="BB148" s="16" t="n"/>
      <c r="BC148" s="16" t="n"/>
    </row>
    <row r="149" ht="14.25" customHeight="1" s="31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19" t="n"/>
      <c r="R149" s="4" t="n"/>
      <c r="S149" s="4" t="n"/>
      <c r="T149" s="4" t="n"/>
      <c r="U149" s="4" t="n"/>
      <c r="V149" s="4" t="n"/>
      <c r="W149" s="4" t="n"/>
      <c r="X149" s="4">
        <f>AR149*(W149+30)</f>
        <v/>
      </c>
      <c r="Y149" s="4" t="n"/>
      <c r="Z149" s="4">
        <f>AA149+AB149+AC149</f>
        <v/>
      </c>
      <c r="AA149" s="4" t="n"/>
      <c r="AB149" s="4" t="n"/>
      <c r="AC149" s="4" t="n"/>
      <c r="AD149" s="4">
        <f>AA149+AB149</f>
        <v/>
      </c>
      <c r="AE149" s="13">
        <f>IF(AD149&lt;=AT149,"库存不足",IF(AD149&gt;=AT149*1.5,"库存预警","库存正常"))</f>
        <v/>
      </c>
      <c r="AF149" s="4">
        <f>MAX(AT149-AA149-AB149,0)</f>
        <v/>
      </c>
      <c r="AG149" s="4">
        <f>MAX(X149-AD149,0)</f>
        <v/>
      </c>
      <c r="AH149" s="4">
        <f>AF149-AG149</f>
        <v/>
      </c>
      <c r="AI149" s="14">
        <f>AX149+(AA149+AB149)/AR149-60</f>
        <v/>
      </c>
      <c r="AJ149" s="4" t="n"/>
      <c r="AK149" s="4" t="n"/>
      <c r="AL149" s="4" t="n"/>
      <c r="AM149" s="4" t="n"/>
      <c r="AN149" s="15" t="n"/>
      <c r="AO149" s="4">
        <f>ROUND(AK149/7,0)</f>
        <v/>
      </c>
      <c r="AP149" s="4">
        <f>ROUND(AL149/15,0)</f>
        <v/>
      </c>
      <c r="AQ149" s="4">
        <f>ROUND(AM149/30,0)</f>
        <v/>
      </c>
      <c r="AR149" s="4" t="n"/>
      <c r="AS149" s="4" t="n"/>
      <c r="AT149" s="4">
        <f>AR149*(W149+7+30)</f>
        <v/>
      </c>
      <c r="AU149" s="35" t="n"/>
      <c r="AV149" s="4">
        <f>MAX(0,AT149-AD149-AC149)</f>
        <v/>
      </c>
      <c r="AW149" s="4" t="n"/>
      <c r="AX149" s="14">
        <f>TODAY()</f>
        <v/>
      </c>
      <c r="AY149" s="4" t="n"/>
      <c r="AZ149" s="4" t="n"/>
      <c r="BA149" s="16" t="n"/>
      <c r="BB149" s="16" t="n"/>
      <c r="BC149" s="16" t="n"/>
    </row>
    <row r="150" ht="14.25" customHeight="1" s="31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19" t="n"/>
      <c r="R150" s="4" t="n"/>
      <c r="S150" s="4" t="n"/>
      <c r="T150" s="4" t="n"/>
      <c r="U150" s="4" t="n"/>
      <c r="V150" s="4" t="n"/>
      <c r="W150" s="4" t="n"/>
      <c r="X150" s="4">
        <f>AR150*(W150+30)</f>
        <v/>
      </c>
      <c r="Y150" s="4" t="n"/>
      <c r="Z150" s="4">
        <f>AA150+AB150+AC150</f>
        <v/>
      </c>
      <c r="AA150" s="4" t="n"/>
      <c r="AB150" s="4" t="n"/>
      <c r="AC150" s="4" t="n"/>
      <c r="AD150" s="4">
        <f>AA150+AB150</f>
        <v/>
      </c>
      <c r="AE150" s="13">
        <f>IF(AD150&lt;=AT150,"库存不足",IF(AD150&gt;=AT150*1.5,"库存预警","库存正常"))</f>
        <v/>
      </c>
      <c r="AF150" s="4">
        <f>MAX(AT150-AA150-AB150,0)</f>
        <v/>
      </c>
      <c r="AG150" s="4">
        <f>MAX(X150-AD150,0)</f>
        <v/>
      </c>
      <c r="AH150" s="4">
        <f>AF150-AG150</f>
        <v/>
      </c>
      <c r="AI150" s="14">
        <f>AX150+(AA150+AB150)/AR150-60</f>
        <v/>
      </c>
      <c r="AJ150" s="4" t="n"/>
      <c r="AK150" s="4" t="n"/>
      <c r="AL150" s="4" t="n"/>
      <c r="AM150" s="4" t="n"/>
      <c r="AN150" s="15" t="n"/>
      <c r="AO150" s="4">
        <f>ROUND(AK150/7,0)</f>
        <v/>
      </c>
      <c r="AP150" s="4">
        <f>ROUND(AL150/15,0)</f>
        <v/>
      </c>
      <c r="AQ150" s="4">
        <f>ROUND(AM150/30,0)</f>
        <v/>
      </c>
      <c r="AR150" s="4" t="n"/>
      <c r="AS150" s="4" t="n"/>
      <c r="AT150" s="4">
        <f>AR150*(W150+7+30)</f>
        <v/>
      </c>
      <c r="AU150" s="35" t="n"/>
      <c r="AV150" s="4">
        <f>MAX(0,AT150-AD150-AC150)</f>
        <v/>
      </c>
      <c r="AW150" s="4" t="n"/>
      <c r="AX150" s="14">
        <f>TODAY()</f>
        <v/>
      </c>
      <c r="AY150" s="4" t="n"/>
      <c r="AZ150" s="4" t="n"/>
      <c r="BA150" s="16" t="n"/>
      <c r="BB150" s="16" t="n"/>
      <c r="BC150" s="16" t="n"/>
    </row>
    <row r="151" ht="14.25" customHeight="1" s="31">
      <c r="A151" s="19" t="n"/>
      <c r="B151" s="19" t="n"/>
      <c r="C151" s="19" t="n"/>
      <c r="D151" s="4" t="n"/>
      <c r="E151" s="4" t="n"/>
      <c r="F151" s="4" t="n"/>
      <c r="G151" s="34" t="n"/>
      <c r="H151" s="34" t="n"/>
      <c r="I151" s="34" t="n"/>
      <c r="J151" s="19" t="n"/>
      <c r="K151" s="19" t="n"/>
      <c r="L151" s="4" t="n"/>
      <c r="M151" s="4" t="n"/>
      <c r="N151" s="4" t="n"/>
      <c r="O151" s="4" t="n"/>
      <c r="P151" s="4" t="n"/>
      <c r="Q151" s="4" t="n"/>
      <c r="R151" s="19" t="n"/>
      <c r="S151" s="19" t="n"/>
      <c r="T151" s="4" t="n"/>
      <c r="U151" s="4" t="n"/>
      <c r="V151" s="4" t="n"/>
      <c r="W151" s="4" t="n"/>
      <c r="X151" s="4">
        <f>AR151*(W151+30)</f>
        <v/>
      </c>
      <c r="Y151" s="4" t="n"/>
      <c r="Z151" s="4">
        <f>AA151+AB151+AC151</f>
        <v/>
      </c>
      <c r="AA151" s="4" t="n"/>
      <c r="AB151" s="4" t="n"/>
      <c r="AC151" s="4" t="n"/>
      <c r="AD151" s="4">
        <f>AA151+AB151</f>
        <v/>
      </c>
      <c r="AE151" s="13">
        <f>IF(AD151&lt;=AT151,"库存不足",IF(AD151&gt;=AT151*1.5,"库存预警","库存正常"))</f>
        <v/>
      </c>
      <c r="AF151" s="4">
        <f>MAX(AT151-AA151-AB151,0)</f>
        <v/>
      </c>
      <c r="AG151" s="4">
        <f>MAX(X151-AD151,0)</f>
        <v/>
      </c>
      <c r="AH151" s="4">
        <f>AF151-AG151</f>
        <v/>
      </c>
      <c r="AI151" s="14">
        <f>AX151+(AA151+AB151)/AR151-60</f>
        <v/>
      </c>
      <c r="AJ151" s="4" t="n"/>
      <c r="AK151" s="4" t="n"/>
      <c r="AL151" s="4" t="n"/>
      <c r="AM151" s="4" t="n"/>
      <c r="AN151" s="15" t="n"/>
      <c r="AO151" s="4">
        <f>ROUND(AK151/7,0)</f>
        <v/>
      </c>
      <c r="AP151" s="4">
        <f>ROUND(AL151/15,0)</f>
        <v/>
      </c>
      <c r="AQ151" s="4">
        <f>ROUND(AM151/30,0)</f>
        <v/>
      </c>
      <c r="AR151" s="4" t="n"/>
      <c r="AS151" s="4" t="n"/>
      <c r="AT151" s="4">
        <f>AR151*(W151+7+30)</f>
        <v/>
      </c>
      <c r="AU151" s="35" t="n"/>
      <c r="AV151" s="4">
        <f>MAX(0,AT151-AD151-AC151)</f>
        <v/>
      </c>
      <c r="AW151" s="4" t="n"/>
      <c r="AX151" s="14">
        <f>TODAY()</f>
        <v/>
      </c>
      <c r="AY151" s="4" t="n"/>
      <c r="AZ151" s="4" t="n"/>
      <c r="BA151" s="16" t="n"/>
      <c r="BB151" s="16" t="n"/>
      <c r="BC151" s="16" t="n"/>
    </row>
    <row r="152" ht="14.25" customHeight="1" s="31">
      <c r="A152" s="19" t="n"/>
      <c r="B152" s="19" t="n"/>
      <c r="C152" s="19" t="n"/>
      <c r="D152" s="4" t="n"/>
      <c r="E152" s="4" t="n"/>
      <c r="F152" s="4" t="n"/>
      <c r="G152" s="34" t="n"/>
      <c r="H152" s="34" t="n"/>
      <c r="I152" s="34" t="n"/>
      <c r="J152" s="19" t="n"/>
      <c r="K152" s="19" t="n"/>
      <c r="L152" s="4" t="n"/>
      <c r="M152" s="4" t="n"/>
      <c r="N152" s="4" t="n"/>
      <c r="O152" s="4" t="n"/>
      <c r="P152" s="4" t="n"/>
      <c r="Q152" s="4" t="n"/>
      <c r="R152" s="19" t="n"/>
      <c r="S152" s="19" t="n"/>
      <c r="T152" s="4" t="n"/>
      <c r="U152" s="4" t="n"/>
      <c r="V152" s="4" t="n"/>
      <c r="W152" s="4" t="n"/>
      <c r="X152" s="4">
        <f>AR152*(W152+30)</f>
        <v/>
      </c>
      <c r="Y152" s="4" t="n"/>
      <c r="Z152" s="4">
        <f>AA152+AB152+AC152</f>
        <v/>
      </c>
      <c r="AA152" s="4" t="n"/>
      <c r="AB152" s="4" t="n"/>
      <c r="AC152" s="4" t="n"/>
      <c r="AD152" s="4">
        <f>AA152+AB152</f>
        <v/>
      </c>
      <c r="AE152" s="13">
        <f>IF(AD152&lt;=AT152,"库存不足",IF(AD152&gt;=AT152*1.5,"库存预警","库存正常"))</f>
        <v/>
      </c>
      <c r="AF152" s="4">
        <f>MAX(AT152-AA152-AB152,0)</f>
        <v/>
      </c>
      <c r="AG152" s="4">
        <f>MAX(X152-AD152,0)</f>
        <v/>
      </c>
      <c r="AH152" s="4">
        <f>AF152-AG152</f>
        <v/>
      </c>
      <c r="AI152" s="14">
        <f>AX152+(AA152+AB152)/AR152-60</f>
        <v/>
      </c>
      <c r="AJ152" s="4" t="n"/>
      <c r="AK152" s="4" t="n"/>
      <c r="AL152" s="4" t="n"/>
      <c r="AM152" s="4" t="n"/>
      <c r="AN152" s="15" t="n"/>
      <c r="AO152" s="4">
        <f>ROUND(AK152/7,0)</f>
        <v/>
      </c>
      <c r="AP152" s="4">
        <f>ROUND(AL152/15,0)</f>
        <v/>
      </c>
      <c r="AQ152" s="4">
        <f>ROUND(AM152/30,0)</f>
        <v/>
      </c>
      <c r="AR152" s="4" t="n"/>
      <c r="AS152" s="4" t="n"/>
      <c r="AT152" s="4">
        <f>AR152*(W152+7+30)</f>
        <v/>
      </c>
      <c r="AU152" s="35" t="n"/>
      <c r="AV152" s="4">
        <f>MAX(0,AT152-AD152-AC152)</f>
        <v/>
      </c>
      <c r="AW152" s="4" t="n"/>
      <c r="AX152" s="14">
        <f>TODAY()</f>
        <v/>
      </c>
      <c r="AY152" s="4" t="n"/>
      <c r="AZ152" s="4" t="n"/>
      <c r="BA152" s="16" t="n"/>
      <c r="BB152" s="16" t="n"/>
      <c r="BC152" s="16" t="n"/>
    </row>
    <row r="153" ht="14.25" customHeight="1" s="31">
      <c r="A153" s="19" t="n"/>
      <c r="B153" s="19" t="n"/>
      <c r="C153" s="19" t="n"/>
      <c r="D153" s="4" t="n"/>
      <c r="E153" s="4" t="n"/>
      <c r="F153" s="4" t="n"/>
      <c r="G153" s="34" t="n"/>
      <c r="H153" s="34" t="n"/>
      <c r="I153" s="34" t="n"/>
      <c r="J153" s="19" t="n"/>
      <c r="K153" s="19" t="n"/>
      <c r="L153" s="19" t="n"/>
      <c r="M153" s="19" t="n"/>
      <c r="N153" s="19" t="n"/>
      <c r="O153" s="19" t="n"/>
      <c r="P153" s="19" t="n"/>
      <c r="Q153" s="4" t="n"/>
      <c r="R153" s="19" t="n"/>
      <c r="S153" s="19" t="n"/>
      <c r="T153" s="4" t="n"/>
      <c r="U153" s="4" t="n"/>
      <c r="V153" s="4" t="n"/>
      <c r="W153" s="4" t="n"/>
      <c r="X153" s="4">
        <f>AR153*(W153+30)</f>
        <v/>
      </c>
      <c r="Y153" s="4" t="n"/>
      <c r="Z153" s="4">
        <f>AA153+AB153+AC153</f>
        <v/>
      </c>
      <c r="AA153" s="4" t="n"/>
      <c r="AB153" s="4" t="n"/>
      <c r="AC153" s="4" t="n"/>
      <c r="AD153" s="4">
        <f>AA153+AB153</f>
        <v/>
      </c>
      <c r="AE153" s="13">
        <f>IF(AD153&lt;=AT153,"库存不足",IF(AD153&gt;=AT153*1.5,"库存预警","库存正常"))</f>
        <v/>
      </c>
      <c r="AF153" s="4">
        <f>MAX(AT153-AA153-AB153,0)</f>
        <v/>
      </c>
      <c r="AG153" s="4">
        <f>MAX(X153-AD153,0)</f>
        <v/>
      </c>
      <c r="AH153" s="4">
        <f>AF153-AG153</f>
        <v/>
      </c>
      <c r="AI153" s="14">
        <f>AX153+(AA153+AB153)/AR153-60</f>
        <v/>
      </c>
      <c r="AJ153" s="4" t="n"/>
      <c r="AK153" s="15" t="n"/>
      <c r="AL153" s="15" t="n"/>
      <c r="AM153" s="15" t="n"/>
      <c r="AN153" s="15" t="n"/>
      <c r="AO153" s="4">
        <f>ROUND(AK153/7,0)</f>
        <v/>
      </c>
      <c r="AP153" s="4">
        <f>ROUND(AL153/15,0)</f>
        <v/>
      </c>
      <c r="AQ153" s="4">
        <f>ROUND(AM153/30,0)</f>
        <v/>
      </c>
      <c r="AR153" s="4" t="n"/>
      <c r="AS153" s="4" t="n"/>
      <c r="AT153" s="4">
        <f>AR153*(W153+7+30)</f>
        <v/>
      </c>
      <c r="AU153" s="35" t="n"/>
      <c r="AV153" s="4">
        <f>MAX(0,AT153-AD153-AC153)</f>
        <v/>
      </c>
      <c r="AW153" s="4" t="n"/>
      <c r="AX153" s="14">
        <f>TODAY()</f>
        <v/>
      </c>
      <c r="AY153" s="4" t="n"/>
      <c r="AZ153" s="4" t="n"/>
      <c r="BA153" s="16" t="n"/>
      <c r="BB153" s="16" t="n"/>
      <c r="BC153" s="16" t="n"/>
    </row>
    <row r="154" ht="14.25" customHeight="1" s="31">
      <c r="A154" s="19" t="n"/>
      <c r="B154" s="19" t="n"/>
      <c r="C154" s="19" t="n"/>
      <c r="D154" s="4" t="n"/>
      <c r="E154" s="4" t="n"/>
      <c r="F154" s="4" t="n"/>
      <c r="G154" s="34" t="n"/>
      <c r="H154" s="34" t="n"/>
      <c r="I154" s="34" t="n"/>
      <c r="J154" s="19" t="n"/>
      <c r="K154" s="19" t="n"/>
      <c r="L154" s="19" t="n"/>
      <c r="M154" s="19" t="n"/>
      <c r="N154" s="19" t="n"/>
      <c r="O154" s="19" t="n"/>
      <c r="P154" s="19" t="n"/>
      <c r="Q154" s="4" t="n"/>
      <c r="R154" s="19" t="n"/>
      <c r="S154" s="19" t="n"/>
      <c r="T154" s="4" t="n"/>
      <c r="U154" s="4" t="n"/>
      <c r="V154" s="4" t="n"/>
      <c r="W154" s="4" t="n"/>
      <c r="X154" s="4">
        <f>AR154*(W154+30)</f>
        <v/>
      </c>
      <c r="Y154" s="4" t="n"/>
      <c r="Z154" s="4">
        <f>AA154+AB154+AC154</f>
        <v/>
      </c>
      <c r="AA154" s="4" t="n"/>
      <c r="AB154" s="4" t="n"/>
      <c r="AC154" s="4" t="n"/>
      <c r="AD154" s="4">
        <f>AA154+AB154</f>
        <v/>
      </c>
      <c r="AE154" s="13">
        <f>IF(AD154&lt;=AT154,"库存不足",IF(AD154&gt;=AT154*1.5,"库存预警","库存正常"))</f>
        <v/>
      </c>
      <c r="AF154" s="4">
        <f>MAX(AT154-AA154-AB154,0)</f>
        <v/>
      </c>
      <c r="AG154" s="4">
        <f>MAX(X154-AD154,0)</f>
        <v/>
      </c>
      <c r="AH154" s="4">
        <f>AF154-AG154</f>
        <v/>
      </c>
      <c r="AI154" s="14">
        <f>AX154+(AA154+AB154)/AR154-60</f>
        <v/>
      </c>
      <c r="AJ154" s="4" t="n"/>
      <c r="AK154" s="15" t="n"/>
      <c r="AL154" s="15" t="n"/>
      <c r="AM154" s="15" t="n"/>
      <c r="AN154" s="15" t="n"/>
      <c r="AO154" s="4">
        <f>ROUND(AK154/7,0)</f>
        <v/>
      </c>
      <c r="AP154" s="4">
        <f>ROUND(AL154/15,0)</f>
        <v/>
      </c>
      <c r="AQ154" s="4">
        <f>ROUND(AM154/30,0)</f>
        <v/>
      </c>
      <c r="AR154" s="4" t="n"/>
      <c r="AS154" s="4" t="n"/>
      <c r="AT154" s="4">
        <f>AR154*(W154+7+30)</f>
        <v/>
      </c>
      <c r="AU154" s="35" t="n"/>
      <c r="AV154" s="4">
        <f>MAX(0,AT154-AD154-AC154)</f>
        <v/>
      </c>
      <c r="AW154" s="4" t="n"/>
      <c r="AX154" s="14">
        <f>TODAY()</f>
        <v/>
      </c>
      <c r="AY154" s="4" t="n"/>
      <c r="AZ154" s="4" t="n"/>
      <c r="BA154" s="16" t="n"/>
      <c r="BB154" s="16" t="n"/>
      <c r="BC154" s="16" t="n"/>
    </row>
    <row r="155" ht="14.25" customHeight="1" s="31">
      <c r="A155" s="19" t="n"/>
      <c r="B155" s="19" t="n"/>
      <c r="C155" s="19" t="n"/>
      <c r="D155" s="4" t="n"/>
      <c r="E155" s="4" t="n"/>
      <c r="F155" s="4" t="n"/>
      <c r="G155" s="34" t="n"/>
      <c r="H155" s="34" t="n"/>
      <c r="I155" s="34" t="n"/>
      <c r="J155" s="19" t="n"/>
      <c r="K155" s="19" t="n"/>
      <c r="L155" s="19" t="n"/>
      <c r="M155" s="19" t="n"/>
      <c r="N155" s="19" t="n"/>
      <c r="O155" s="19" t="n"/>
      <c r="P155" s="19" t="n"/>
      <c r="Q155" s="4" t="n"/>
      <c r="R155" s="19" t="n"/>
      <c r="S155" s="19" t="n"/>
      <c r="T155" s="4" t="n"/>
      <c r="U155" s="4" t="n"/>
      <c r="V155" s="4" t="n"/>
      <c r="W155" s="4" t="n"/>
      <c r="X155" s="4">
        <f>AR155*(W155+30)</f>
        <v/>
      </c>
      <c r="Y155" s="4" t="n"/>
      <c r="Z155" s="4">
        <f>AA155+AB155+AC155</f>
        <v/>
      </c>
      <c r="AA155" s="4" t="n"/>
      <c r="AB155" s="4" t="n"/>
      <c r="AC155" s="4" t="n"/>
      <c r="AD155" s="4">
        <f>AA155+AB155</f>
        <v/>
      </c>
      <c r="AE155" s="13">
        <f>IF(AD155&lt;=AT155,"库存不足",IF(AD155&gt;=AT155*1.5,"库存预警","库存正常"))</f>
        <v/>
      </c>
      <c r="AF155" s="4">
        <f>MAX(AT155-AA155-AB155,0)</f>
        <v/>
      </c>
      <c r="AG155" s="4">
        <f>MAX(X155-AD155,0)</f>
        <v/>
      </c>
      <c r="AH155" s="4">
        <f>AF155-AG155</f>
        <v/>
      </c>
      <c r="AI155" s="14">
        <f>AX155+(AA155+AB155)/AR155-60</f>
        <v/>
      </c>
      <c r="AJ155" s="4" t="n"/>
      <c r="AK155" s="15" t="n"/>
      <c r="AL155" s="15" t="n"/>
      <c r="AM155" s="15" t="n"/>
      <c r="AN155" s="15" t="n"/>
      <c r="AO155" s="4">
        <f>ROUND(AK155/7,0)</f>
        <v/>
      </c>
      <c r="AP155" s="4">
        <f>ROUND(AL155/15,0)</f>
        <v/>
      </c>
      <c r="AQ155" s="4">
        <f>ROUND(AM155/30,0)</f>
        <v/>
      </c>
      <c r="AR155" s="4" t="n"/>
      <c r="AS155" s="4" t="n"/>
      <c r="AT155" s="4">
        <f>AR155*(W155+7+30)</f>
        <v/>
      </c>
      <c r="AU155" s="35" t="n"/>
      <c r="AV155" s="4">
        <f>MAX(0,AT155-AD155-AC155)</f>
        <v/>
      </c>
      <c r="AW155" s="4" t="n"/>
      <c r="AX155" s="14">
        <f>TODAY()</f>
        <v/>
      </c>
      <c r="AY155" s="4" t="n"/>
      <c r="AZ155" s="4" t="n"/>
      <c r="BA155" s="16" t="n"/>
      <c r="BB155" s="16" t="n"/>
      <c r="BC155" s="16" t="n"/>
    </row>
    <row r="156" ht="14.25" customHeight="1" s="31">
      <c r="A156" s="4" t="n"/>
      <c r="B156" s="19" t="n"/>
      <c r="C156" s="4" t="n"/>
      <c r="D156" s="4" t="n"/>
      <c r="E156" s="4" t="n"/>
      <c r="F156" s="4" t="n"/>
      <c r="G156" s="34" t="n"/>
      <c r="H156" s="34" t="n"/>
      <c r="I156" s="34" t="n"/>
      <c r="J156" s="19" t="n"/>
      <c r="K156" s="19" t="n"/>
      <c r="L156" s="4" t="n"/>
      <c r="M156" s="4" t="n"/>
      <c r="N156" s="4" t="n"/>
      <c r="O156" s="4" t="n"/>
      <c r="P156" s="4" t="n"/>
      <c r="Q156" s="4">
        <f>L156*M156*N156/1000000</f>
        <v/>
      </c>
      <c r="R156" s="4" t="n"/>
      <c r="S156" s="4" t="n"/>
      <c r="T156" s="4" t="n"/>
      <c r="U156" s="4" t="n"/>
      <c r="V156" s="4" t="n"/>
      <c r="W156" s="4" t="n"/>
      <c r="X156" s="4">
        <f>AR156*(W156+30)</f>
        <v/>
      </c>
      <c r="Y156" s="4" t="n"/>
      <c r="Z156" s="4">
        <f>AA156+AB156+AC156</f>
        <v/>
      </c>
      <c r="AA156" s="4" t="n"/>
      <c r="AB156" s="4" t="n"/>
      <c r="AC156" s="4" t="n"/>
      <c r="AD156" s="4">
        <f>AA156+AB156</f>
        <v/>
      </c>
      <c r="AE156" s="13">
        <f>IF(AD156&lt;=AT156,"库存不足",IF(AD156&gt;=AT156*1.5,"库存预警","库存正常"))</f>
        <v/>
      </c>
      <c r="AF156" s="4">
        <f>MAX(AT156-AA156-AB156,0)</f>
        <v/>
      </c>
      <c r="AG156" s="4">
        <f>MAX(X156-AD156,0)</f>
        <v/>
      </c>
      <c r="AH156" s="4">
        <f>AF156-AG156</f>
        <v/>
      </c>
      <c r="AI156" s="14">
        <f>AX156+(AA156+AB156)/AR156-60</f>
        <v/>
      </c>
      <c r="AJ156" s="4" t="n"/>
      <c r="AK156" s="4" t="n"/>
      <c r="AL156" s="4" t="n"/>
      <c r="AM156" s="4" t="n"/>
      <c r="AN156" s="15" t="n"/>
      <c r="AO156" s="4">
        <f>ROUND(AK156/7,0)</f>
        <v/>
      </c>
      <c r="AP156" s="4">
        <f>ROUND(AL156/15,0)</f>
        <v/>
      </c>
      <c r="AQ156" s="4">
        <f>ROUND(AM156/30,0)</f>
        <v/>
      </c>
      <c r="AR156" s="4" t="n"/>
      <c r="AS156" s="4" t="n"/>
      <c r="AT156" s="4">
        <f>AR156*(W156+7+35)</f>
        <v/>
      </c>
      <c r="AU156" s="35">
        <f>AX156+AD156/AR156</f>
        <v/>
      </c>
      <c r="AV156" s="4">
        <f>MAX(0,AT156-AD156-AC156)</f>
        <v/>
      </c>
      <c r="AW156" s="4" t="n"/>
      <c r="AX156" s="14">
        <f>TODAY()</f>
        <v/>
      </c>
      <c r="AY156" s="4" t="n"/>
      <c r="AZ156" s="4" t="n"/>
      <c r="BA156" s="16" t="n"/>
      <c r="BB156" s="16" t="n"/>
      <c r="BC156" s="16" t="n"/>
    </row>
    <row r="157" ht="14.25" customHeight="1" s="31">
      <c r="A157" s="4" t="n"/>
      <c r="B157" s="19" t="n"/>
      <c r="C157" s="4" t="n"/>
      <c r="D157" s="4" t="n"/>
      <c r="E157" s="4" t="n"/>
      <c r="F157" s="4" t="n"/>
      <c r="G157" s="34" t="n"/>
      <c r="H157" s="34" t="n"/>
      <c r="I157" s="34" t="n"/>
      <c r="J157" s="19" t="n"/>
      <c r="K157" s="19" t="n"/>
      <c r="L157" s="4" t="n"/>
      <c r="M157" s="4" t="n"/>
      <c r="N157" s="4" t="n"/>
      <c r="O157" s="4" t="n"/>
      <c r="P157" s="4" t="n"/>
      <c r="Q157" s="4">
        <f>L157*M157*N157/1000000</f>
        <v/>
      </c>
      <c r="R157" s="4" t="n"/>
      <c r="S157" s="4" t="n"/>
      <c r="T157" s="4" t="n"/>
      <c r="U157" s="4" t="n"/>
      <c r="V157" s="4" t="n"/>
      <c r="W157" s="4" t="n"/>
      <c r="X157" s="4">
        <f>AR157*(W157+30)</f>
        <v/>
      </c>
      <c r="Y157" s="4" t="n"/>
      <c r="Z157" s="4">
        <f>AA157+AB157+AC157</f>
        <v/>
      </c>
      <c r="AA157" s="4" t="n"/>
      <c r="AB157" s="4" t="n"/>
      <c r="AC157" s="4" t="n"/>
      <c r="AD157" s="4">
        <f>AA157+AB157</f>
        <v/>
      </c>
      <c r="AE157" s="13">
        <f>IF(AD157&lt;=AT157,"库存不足",IF(AD157&gt;=AT157*1.5,"库存预警","库存正常"))</f>
        <v/>
      </c>
      <c r="AF157" s="4">
        <f>MAX(AT157-AA157-AB157,0)</f>
        <v/>
      </c>
      <c r="AG157" s="4">
        <f>MAX(X157-AD157,0)</f>
        <v/>
      </c>
      <c r="AH157" s="4">
        <f>AF157-AG157</f>
        <v/>
      </c>
      <c r="AI157" s="14">
        <f>AX157+(AA157+AB157)/AR157-60</f>
        <v/>
      </c>
      <c r="AJ157" s="4" t="n"/>
      <c r="AK157" s="4" t="n"/>
      <c r="AL157" s="4" t="n"/>
      <c r="AM157" s="4" t="n"/>
      <c r="AN157" s="15" t="n"/>
      <c r="AO157" s="4">
        <f>ROUND(AK157/7,0)</f>
        <v/>
      </c>
      <c r="AP157" s="4">
        <f>ROUND(AL157/15,0)</f>
        <v/>
      </c>
      <c r="AQ157" s="4">
        <f>ROUND(AM157/30,0)</f>
        <v/>
      </c>
      <c r="AR157" s="4" t="n"/>
      <c r="AS157" s="4" t="n"/>
      <c r="AT157" s="4">
        <f>AR157*(W157+7+30)</f>
        <v/>
      </c>
      <c r="AU157" s="35" t="n"/>
      <c r="AV157" s="4">
        <f>MAX(0,AT157-AD157-AC157)</f>
        <v/>
      </c>
      <c r="AW157" s="4" t="n"/>
      <c r="AX157" s="14">
        <f>TODAY()</f>
        <v/>
      </c>
      <c r="AY157" s="4" t="n"/>
      <c r="AZ157" s="4" t="n"/>
      <c r="BA157" s="16" t="n"/>
      <c r="BB157" s="16" t="n"/>
      <c r="BC157" s="16" t="n"/>
    </row>
    <row r="158" ht="14.25" customHeight="1" s="31">
      <c r="A158" s="4" t="n"/>
      <c r="B158" s="19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>
        <f>L158*M158*N158/1000000</f>
        <v/>
      </c>
      <c r="R158" s="4" t="n"/>
      <c r="S158" s="4" t="n"/>
      <c r="T158" s="4" t="n"/>
      <c r="U158" s="4" t="n"/>
      <c r="V158" s="4" t="n"/>
      <c r="W158" s="4" t="n"/>
      <c r="X158" s="4">
        <f>AR158*(W158+30)</f>
        <v/>
      </c>
      <c r="Y158" s="4" t="n"/>
      <c r="Z158" s="4">
        <f>AA158+AB158+AC158</f>
        <v/>
      </c>
      <c r="AA158" s="4" t="n"/>
      <c r="AB158" s="4" t="n"/>
      <c r="AC158" s="4" t="n"/>
      <c r="AD158" s="4">
        <f>AA158+AB158</f>
        <v/>
      </c>
      <c r="AE158" s="13">
        <f>IF(AD158&lt;=AT158,"库存不足",IF(AD158&gt;=AT158*1.5,"库存预警","库存正常"))</f>
        <v/>
      </c>
      <c r="AF158" s="4">
        <f>MAX(AT158-AA158-AB158,0)</f>
        <v/>
      </c>
      <c r="AG158" s="4">
        <f>MAX(X158-AD158,0)</f>
        <v/>
      </c>
      <c r="AH158" s="4">
        <f>AF158-AG158</f>
        <v/>
      </c>
      <c r="AI158" s="14">
        <f>AX158+(AA158+AB158)/AR158-60</f>
        <v/>
      </c>
      <c r="AJ158" s="4" t="n"/>
      <c r="AK158" s="15" t="n"/>
      <c r="AL158" s="15" t="n"/>
      <c r="AM158" s="15" t="n"/>
      <c r="AN158" s="15" t="n"/>
      <c r="AO158" s="4">
        <f>ROUND(AK158/7,0)</f>
        <v/>
      </c>
      <c r="AP158" s="4">
        <f>ROUND(AL158/15,0)</f>
        <v/>
      </c>
      <c r="AQ158" s="4">
        <f>ROUND(AM158/30,0)</f>
        <v/>
      </c>
      <c r="AR158" s="4" t="n"/>
      <c r="AS158" s="4" t="n"/>
      <c r="AT158" s="4">
        <f>AR158*(W158+7+30)</f>
        <v/>
      </c>
      <c r="AU158" s="35" t="n"/>
      <c r="AV158" s="4">
        <f>MAX(0,AT158-AD158-AC158)</f>
        <v/>
      </c>
      <c r="AW158" s="4" t="n"/>
      <c r="AX158" s="14">
        <f>TODAY()</f>
        <v/>
      </c>
      <c r="AY158" s="4" t="n"/>
      <c r="AZ158" s="4" t="n"/>
      <c r="BA158" s="16" t="n"/>
      <c r="BB158" s="16" t="n"/>
      <c r="BC158" s="16" t="n"/>
    </row>
    <row r="159" ht="14.25" customHeight="1" s="31">
      <c r="A159" s="4" t="n"/>
      <c r="B159" s="19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>
        <f>L159*M159*N159/1000000</f>
        <v/>
      </c>
      <c r="R159" s="4" t="n"/>
      <c r="S159" s="4" t="n"/>
      <c r="T159" s="4" t="n"/>
      <c r="U159" s="4" t="n"/>
      <c r="V159" s="4" t="n"/>
      <c r="W159" s="4" t="n"/>
      <c r="X159" s="4">
        <f>AR159*(W159+30)</f>
        <v/>
      </c>
      <c r="Y159" s="4" t="n"/>
      <c r="Z159" s="4">
        <f>AA159+AB159+AC159</f>
        <v/>
      </c>
      <c r="AA159" s="4" t="n"/>
      <c r="AB159" s="4" t="n"/>
      <c r="AC159" s="4" t="n"/>
      <c r="AD159" s="4">
        <f>AA159+AB159</f>
        <v/>
      </c>
      <c r="AE159" s="13">
        <f>IF(AD159&lt;=AT159,"库存不足",IF(AD159&gt;=AT159*1.5,"库存预警","库存正常"))</f>
        <v/>
      </c>
      <c r="AF159" s="4">
        <f>MAX(AT159-AA159-AB159,0)</f>
        <v/>
      </c>
      <c r="AG159" s="4">
        <f>MAX(X159-AD159,0)</f>
        <v/>
      </c>
      <c r="AH159" s="4">
        <f>AF159-AG159</f>
        <v/>
      </c>
      <c r="AI159" s="14">
        <f>AX159+(AA159+AB159)/AR159-60</f>
        <v/>
      </c>
      <c r="AJ159" s="4" t="n"/>
      <c r="AK159" s="15" t="n"/>
      <c r="AL159" s="15" t="n"/>
      <c r="AM159" s="15" t="n"/>
      <c r="AN159" s="15" t="n"/>
      <c r="AO159" s="4">
        <f>ROUND(AK159/7,0)</f>
        <v/>
      </c>
      <c r="AP159" s="4">
        <f>ROUND(AL159/15,0)</f>
        <v/>
      </c>
      <c r="AQ159" s="4">
        <f>ROUND(AM159/30,0)</f>
        <v/>
      </c>
      <c r="AR159" s="4" t="n"/>
      <c r="AS159" s="4" t="n"/>
      <c r="AT159" s="4">
        <f>AR159*(W159+7+30)</f>
        <v/>
      </c>
      <c r="AU159" s="35" t="n"/>
      <c r="AV159" s="4">
        <f>MAX(0,AT159-AD159-AC159)</f>
        <v/>
      </c>
      <c r="AW159" s="4" t="n"/>
      <c r="AX159" s="14">
        <f>TODAY()</f>
        <v/>
      </c>
      <c r="AY159" s="4" t="n"/>
      <c r="AZ159" s="4" t="n"/>
      <c r="BA159" s="16" t="n"/>
      <c r="BB159" s="16" t="n"/>
      <c r="BC159" s="16" t="n"/>
    </row>
    <row r="160" ht="14.25" customHeight="1" s="31">
      <c r="A160" s="4" t="n"/>
      <c r="B160" s="19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>
        <f>L160*M160*N160/1000000</f>
        <v/>
      </c>
      <c r="R160" s="4" t="n"/>
      <c r="S160" s="4" t="n"/>
      <c r="T160" s="4" t="n"/>
      <c r="U160" s="4" t="n"/>
      <c r="V160" s="4" t="n"/>
      <c r="W160" s="4" t="n"/>
      <c r="X160" s="4">
        <f>AR160*(W160+35+10)</f>
        <v/>
      </c>
      <c r="Y160" s="4">
        <f>AR160*(W160+35+10+45)</f>
        <v/>
      </c>
      <c r="Z160" s="4">
        <f>AA160+AB160+AC160</f>
        <v/>
      </c>
      <c r="AA160" s="4" t="n"/>
      <c r="AB160" s="4" t="n"/>
      <c r="AC160" s="4" t="n"/>
      <c r="AD160" s="4">
        <f>AA160+AB160</f>
        <v/>
      </c>
      <c r="AE160" s="13">
        <f>IF(AD160&lt;=AT160,"库存不足",IF(AD160&gt;=AT160*1.5,"库存预警","库存正常"))</f>
        <v/>
      </c>
      <c r="AF160" s="4">
        <f>MAX(AT160-AA160-AB160,0)</f>
        <v/>
      </c>
      <c r="AG160" s="4">
        <f>MAX(X160-AD160,0)</f>
        <v/>
      </c>
      <c r="AH160" s="4">
        <f>AF160-AG160</f>
        <v/>
      </c>
      <c r="AI160" s="14">
        <f>AX160+(AA160+AB160)/AR160-60</f>
        <v/>
      </c>
      <c r="AJ160" s="4" t="n"/>
      <c r="AK160" s="4" t="n"/>
      <c r="AL160" s="4" t="n"/>
      <c r="AM160" s="4" t="n"/>
      <c r="AN160" s="15" t="n"/>
      <c r="AO160" s="4">
        <f>ROUND(AK160/7,0)</f>
        <v/>
      </c>
      <c r="AP160" s="4">
        <f>ROUND(AL160/15,0)</f>
        <v/>
      </c>
      <c r="AQ160" s="4">
        <f>ROUND(AM160/30,0)</f>
        <v/>
      </c>
      <c r="AR160" s="4" t="n"/>
      <c r="AS160" s="4" t="n"/>
      <c r="AT160" s="4">
        <f>AR160*(W160+7+30)</f>
        <v/>
      </c>
      <c r="AU160" s="4" t="n"/>
      <c r="AV160" s="4">
        <f>MAX(0,AT160-AD160-AC160)</f>
        <v/>
      </c>
      <c r="AW160" s="4" t="n"/>
      <c r="AX160" s="14">
        <f>TODAY()</f>
        <v/>
      </c>
      <c r="AY160" s="4" t="n"/>
      <c r="AZ160" s="4" t="n"/>
      <c r="BA160" s="16" t="n"/>
      <c r="BB160" s="16" t="n"/>
      <c r="BC160" s="16" t="n"/>
    </row>
    <row r="161" ht="14.25" customHeight="1" s="31">
      <c r="A161" s="4" t="n"/>
      <c r="B161" s="4" t="n"/>
      <c r="C161" s="4" t="n"/>
      <c r="D161" s="4" t="n"/>
      <c r="E161" s="4" t="n"/>
      <c r="F161" s="19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19">
        <f>ROUND((L161*M161*N161)/1000000,3)</f>
        <v/>
      </c>
      <c r="R161" s="4" t="n"/>
      <c r="S161" s="4" t="n"/>
      <c r="T161" s="4" t="n"/>
      <c r="U161" s="4" t="n"/>
      <c r="V161" s="4" t="n"/>
      <c r="W161" s="19" t="n"/>
      <c r="X161" s="4">
        <f>AR161*(W161+35+10)</f>
        <v/>
      </c>
      <c r="Y161" s="4">
        <f>AR161*(W161+35+10+45)</f>
        <v/>
      </c>
      <c r="Z161" s="4">
        <f>AA161+AB161+AC161</f>
        <v/>
      </c>
      <c r="AA161" s="4" t="n"/>
      <c r="AB161" s="4" t="n"/>
      <c r="AC161" s="4" t="n"/>
      <c r="AD161" s="4">
        <f>AA161+AB161</f>
        <v/>
      </c>
      <c r="AE161" s="13">
        <f>IF(AD161&lt;=AT161,"库存不足",IF(AD161&gt;=AT161*1.5,"库存预警","库存正常"))</f>
        <v/>
      </c>
      <c r="AF161" s="4">
        <f>MAX(AT161-AA161-AB161,0)</f>
        <v/>
      </c>
      <c r="AG161" s="4">
        <f>MAX(X161-AD161,0)</f>
        <v/>
      </c>
      <c r="AH161" s="4">
        <f>AF161-AG161</f>
        <v/>
      </c>
      <c r="AI161" s="14">
        <f>AX161+(AA161+AB161)/AR161-60</f>
        <v/>
      </c>
      <c r="AJ161" s="4" t="n"/>
      <c r="AK161" s="4" t="n"/>
      <c r="AL161" s="4" t="n"/>
      <c r="AM161" s="4" t="n"/>
      <c r="AN161" s="15" t="n"/>
      <c r="AO161" s="4">
        <f>ROUND(AK161/7,0)</f>
        <v/>
      </c>
      <c r="AP161" s="4">
        <f>ROUND(AL161/15,0)</f>
        <v/>
      </c>
      <c r="AQ161" s="4">
        <f>ROUND(AM161/30,0)</f>
        <v/>
      </c>
      <c r="AR161" s="4" t="n"/>
      <c r="AS161" s="4" t="n"/>
      <c r="AT161" s="4">
        <f>AR161*(W161+7+30)</f>
        <v/>
      </c>
      <c r="AU161" s="4" t="n"/>
      <c r="AV161" s="4">
        <f>MAX(0,AT161-AD161-AC161)</f>
        <v/>
      </c>
      <c r="AW161" s="4" t="n"/>
      <c r="AX161" s="14">
        <f>TODAY()</f>
        <v/>
      </c>
      <c r="AY161" s="4" t="n"/>
      <c r="AZ161" s="4" t="n"/>
      <c r="BA161" s="16" t="n"/>
      <c r="BB161" s="16" t="n"/>
      <c r="BC161" s="16" t="n"/>
    </row>
    <row r="162" ht="14.25" customHeight="1" s="31">
      <c r="A162" s="4" t="n"/>
      <c r="B162" s="4" t="n"/>
      <c r="C162" s="4" t="n"/>
      <c r="D162" s="4" t="n"/>
      <c r="E162" s="4" t="n"/>
      <c r="F162" s="19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19">
        <f>ROUND((L162*M162*N162)/1000000,3)</f>
        <v/>
      </c>
      <c r="R162" s="4" t="n"/>
      <c r="S162" s="4" t="n"/>
      <c r="T162" s="4" t="n"/>
      <c r="U162" s="4" t="n"/>
      <c r="V162" s="4" t="n"/>
      <c r="W162" s="19" t="n"/>
      <c r="X162" s="4">
        <f>AR162*(W162+35+10)</f>
        <v/>
      </c>
      <c r="Y162" s="4">
        <f>AR162*(W162+35+10+45)</f>
        <v/>
      </c>
      <c r="Z162" s="4">
        <f>AA162+AB162+AC162</f>
        <v/>
      </c>
      <c r="AA162" s="4" t="n"/>
      <c r="AB162" s="4" t="n"/>
      <c r="AC162" s="4" t="n"/>
      <c r="AD162" s="4">
        <f>AA162+AB162</f>
        <v/>
      </c>
      <c r="AE162" s="13">
        <f>IF(AD162&lt;=AT162,"库存不足",IF(AD162&gt;=AT162*1.5,"库存预警","库存正常"))</f>
        <v/>
      </c>
      <c r="AF162" s="4">
        <f>MAX(AT162-AA162-AB162,0)</f>
        <v/>
      </c>
      <c r="AG162" s="4">
        <f>MAX(X162-AD162,0)</f>
        <v/>
      </c>
      <c r="AH162" s="4">
        <f>AF162-AG162</f>
        <v/>
      </c>
      <c r="AI162" s="14">
        <f>AX162+(AA162+AB162)/AR162-60</f>
        <v/>
      </c>
      <c r="AJ162" s="4" t="n"/>
      <c r="AK162" s="15" t="n"/>
      <c r="AL162" s="15" t="n"/>
      <c r="AM162" s="15" t="n"/>
      <c r="AN162" s="15" t="n"/>
      <c r="AO162" s="4">
        <f>ROUND(AK162/7,0)</f>
        <v/>
      </c>
      <c r="AP162" s="4">
        <f>ROUND(AL162/15,0)</f>
        <v/>
      </c>
      <c r="AQ162" s="4">
        <f>ROUND(AM162/30,0)</f>
        <v/>
      </c>
      <c r="AR162" s="4" t="n"/>
      <c r="AS162" s="4" t="n"/>
      <c r="AT162" s="4">
        <f>AR162*(W162+7+30)</f>
        <v/>
      </c>
      <c r="AU162" s="4" t="n"/>
      <c r="AV162" s="4">
        <f>MAX(0,AT162-AD162-AC162)</f>
        <v/>
      </c>
      <c r="AW162" s="4" t="n"/>
      <c r="AX162" s="14">
        <f>TODAY()</f>
        <v/>
      </c>
      <c r="AY162" s="4" t="n"/>
      <c r="AZ162" s="4" t="n"/>
      <c r="BA162" s="16" t="n"/>
      <c r="BB162" s="16" t="n"/>
      <c r="BC162" s="16" t="n"/>
    </row>
    <row r="163" ht="14.25" customHeight="1" s="31">
      <c r="A163" s="4" t="n"/>
      <c r="B163" s="4" t="n"/>
      <c r="C163" s="4" t="n"/>
      <c r="D163" s="4" t="n"/>
      <c r="E163" s="4" t="n"/>
      <c r="F163" s="19" t="n"/>
      <c r="G163" s="34" t="n"/>
      <c r="H163" s="34" t="n"/>
      <c r="I163" s="34" t="n"/>
      <c r="J163" s="4">
        <f>K163*1000</f>
        <v/>
      </c>
      <c r="K163" s="4" t="n"/>
      <c r="L163" s="4" t="n"/>
      <c r="M163" s="4" t="n"/>
      <c r="N163" s="4" t="n"/>
      <c r="O163" s="4" t="n"/>
      <c r="P163" s="4" t="n"/>
      <c r="Q163" s="19">
        <f>ROUND((L163*M163*N163)/1000000,3)</f>
        <v/>
      </c>
      <c r="R163" s="4" t="n"/>
      <c r="S163" s="4" t="n"/>
      <c r="T163" s="4" t="n"/>
      <c r="U163" s="4" t="n"/>
      <c r="V163" s="4" t="n"/>
      <c r="W163" s="19" t="n"/>
      <c r="X163" s="4">
        <f>AR163*(W163+35+10)</f>
        <v/>
      </c>
      <c r="Y163" s="4">
        <f>AR163*(W163+35+10+45)</f>
        <v/>
      </c>
      <c r="Z163" s="4">
        <f>AA163+AB163+AC163</f>
        <v/>
      </c>
      <c r="AA163" s="4" t="n"/>
      <c r="AB163" s="4" t="n"/>
      <c r="AC163" s="4" t="n"/>
      <c r="AD163" s="4">
        <f>AA163+AB163</f>
        <v/>
      </c>
      <c r="AE163" s="13">
        <f>IF(AD163&lt;=AT163,"库存不足",IF(AD163&gt;=AT163*1.5,"库存预警","库存正常"))</f>
        <v/>
      </c>
      <c r="AF163" s="4">
        <f>MAX(AT163-AA163-AB163,0)</f>
        <v/>
      </c>
      <c r="AG163" s="4">
        <f>MAX(X163-AD163,0)</f>
        <v/>
      </c>
      <c r="AH163" s="4">
        <f>AF163-AG163</f>
        <v/>
      </c>
      <c r="AI163" s="14">
        <f>AX163+(AA163+AB163)/AR163-60</f>
        <v/>
      </c>
      <c r="AJ163" s="4" t="n"/>
      <c r="AK163" s="4" t="n"/>
      <c r="AL163" s="4" t="n"/>
      <c r="AM163" s="4" t="n"/>
      <c r="AN163" s="15" t="n"/>
      <c r="AO163" s="4">
        <f>ROUND(AK163/7,0)</f>
        <v/>
      </c>
      <c r="AP163" s="4">
        <f>ROUND(AL163/15,0)</f>
        <v/>
      </c>
      <c r="AQ163" s="4">
        <f>ROUND(AM163/30,0)</f>
        <v/>
      </c>
      <c r="AR163" s="4" t="n"/>
      <c r="AS163" s="4" t="n"/>
      <c r="AT163" s="4">
        <f>AR163*(W163+7+30)</f>
        <v/>
      </c>
      <c r="AU163" s="4" t="n"/>
      <c r="AV163" s="4">
        <f>MAX(0,AT163-AD163-AC163)</f>
        <v/>
      </c>
      <c r="AW163" s="4" t="n"/>
      <c r="AX163" s="14">
        <f>TODAY()</f>
        <v/>
      </c>
      <c r="AY163" s="4" t="n"/>
      <c r="AZ163" s="4" t="n"/>
      <c r="BA163" s="16" t="n"/>
      <c r="BB163" s="16" t="n"/>
      <c r="BC163" s="16" t="n"/>
    </row>
    <row r="164" ht="14.25" customHeight="1" s="31">
      <c r="A164" s="4" t="n"/>
      <c r="B164" s="4" t="n"/>
      <c r="C164" s="4" t="n"/>
      <c r="D164" s="4" t="n"/>
      <c r="E164" s="4" t="n"/>
      <c r="F164" s="19" t="n"/>
      <c r="G164" s="34" t="n"/>
      <c r="H164" s="34" t="n"/>
      <c r="I164" s="34" t="n"/>
      <c r="J164" s="4">
        <f>K164*1000</f>
        <v/>
      </c>
      <c r="K164" s="4" t="n"/>
      <c r="L164" s="4" t="n"/>
      <c r="M164" s="4" t="n"/>
      <c r="N164" s="4" t="n"/>
      <c r="O164" s="4" t="n"/>
      <c r="P164" s="4" t="n"/>
      <c r="Q164" s="19">
        <f>ROUND((L164*M164*N164)/1000000,3)</f>
        <v/>
      </c>
      <c r="R164" s="4" t="n"/>
      <c r="S164" s="4" t="n"/>
      <c r="T164" s="4" t="n"/>
      <c r="U164" s="4" t="n"/>
      <c r="V164" s="4" t="n"/>
      <c r="W164" s="19" t="n"/>
      <c r="X164" s="4">
        <f>AR164*(W164+35+10)</f>
        <v/>
      </c>
      <c r="Y164" s="4">
        <f>AR164*(W164+35+10+45)</f>
        <v/>
      </c>
      <c r="Z164" s="4">
        <f>AA164+AB164+AC164</f>
        <v/>
      </c>
      <c r="AA164" s="4" t="n"/>
      <c r="AB164" s="4" t="n"/>
      <c r="AC164" s="4" t="n"/>
      <c r="AD164" s="4">
        <f>AA164+AB164</f>
        <v/>
      </c>
      <c r="AE164" s="13">
        <f>IF(AD164&lt;=AT164,"库存不足",IF(AD164&gt;=AT164*1.5,"库存预警","库存正常"))</f>
        <v/>
      </c>
      <c r="AF164" s="4">
        <f>MAX(AT164-AA164-AB164,0)</f>
        <v/>
      </c>
      <c r="AG164" s="4">
        <f>MAX(X164-AD164,0)</f>
        <v/>
      </c>
      <c r="AH164" s="4">
        <f>AF164-AG164</f>
        <v/>
      </c>
      <c r="AI164" s="14">
        <f>AX164+(AA164+AB164)/AR164-60</f>
        <v/>
      </c>
      <c r="AJ164" s="4" t="n"/>
      <c r="AK164" s="15" t="n"/>
      <c r="AL164" s="15" t="n"/>
      <c r="AM164" s="15" t="n"/>
      <c r="AN164" s="15" t="n"/>
      <c r="AO164" s="4">
        <f>ROUND(AK164/7,0)</f>
        <v/>
      </c>
      <c r="AP164" s="4">
        <f>ROUND(AL164/15,0)</f>
        <v/>
      </c>
      <c r="AQ164" s="4">
        <f>ROUND(AM164/30,0)</f>
        <v/>
      </c>
      <c r="AR164" s="4" t="n"/>
      <c r="AS164" s="4" t="n"/>
      <c r="AT164" s="4">
        <f>AR164*(W164+7+30)</f>
        <v/>
      </c>
      <c r="AU164" s="4" t="n"/>
      <c r="AV164" s="4">
        <f>MAX(0,AT164-AD164-AC164)</f>
        <v/>
      </c>
      <c r="AW164" s="4" t="n"/>
      <c r="AX164" s="14">
        <f>TODAY()</f>
        <v/>
      </c>
      <c r="AY164" s="4" t="n"/>
      <c r="AZ164" s="4" t="n"/>
      <c r="BA164" s="16" t="n"/>
      <c r="BB164" s="16" t="n"/>
      <c r="BC164" s="16" t="n"/>
    </row>
    <row r="165" ht="14.25" customHeight="1" s="31">
      <c r="A165" s="19" t="n"/>
      <c r="B165" s="4" t="n"/>
      <c r="C165" s="4" t="n"/>
      <c r="D165" s="19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19">
        <f>ROUND((L165*M165*N165)/1000000,3)</f>
        <v/>
      </c>
      <c r="R165" s="4" t="n"/>
      <c r="S165" s="4" t="n"/>
      <c r="T165" s="4" t="n"/>
      <c r="U165" s="4" t="n"/>
      <c r="V165" s="4" t="n"/>
      <c r="W165" s="19" t="n"/>
      <c r="X165" s="4">
        <f>AR165*(W165+35+10)</f>
        <v/>
      </c>
      <c r="Y165" s="4">
        <f>AR165*(W165+35+10+45)</f>
        <v/>
      </c>
      <c r="Z165" s="4">
        <f>AA165+AB165+AC165</f>
        <v/>
      </c>
      <c r="AA165" s="4" t="n"/>
      <c r="AB165" s="4" t="n"/>
      <c r="AC165" s="4" t="n"/>
      <c r="AD165" s="4">
        <f>AA165+AB165</f>
        <v/>
      </c>
      <c r="AE165" s="13">
        <f>IF(AD165&lt;=AT165,"库存不足",IF(AD165&gt;=AT165*1.5,"库存预警","库存正常"))</f>
        <v/>
      </c>
      <c r="AF165" s="4">
        <f>MAX(AT165-AA165-AB165,0)</f>
        <v/>
      </c>
      <c r="AG165" s="4">
        <f>MAX(X165-AD165,0)</f>
        <v/>
      </c>
      <c r="AH165" s="4">
        <f>AF165-AG165</f>
        <v/>
      </c>
      <c r="AI165" s="14">
        <f>AX165+(AA165+AB165)/AR165-60</f>
        <v/>
      </c>
      <c r="AJ165" s="4" t="n"/>
      <c r="AK165" s="15" t="n"/>
      <c r="AL165" s="15" t="n"/>
      <c r="AM165" s="15" t="n"/>
      <c r="AN165" s="15" t="n"/>
      <c r="AO165" s="4">
        <f>ROUND(AK165/7,0)</f>
        <v/>
      </c>
      <c r="AP165" s="4">
        <f>ROUND(AL165/15,0)</f>
        <v/>
      </c>
      <c r="AQ165" s="4">
        <f>ROUND(AM165/30,0)</f>
        <v/>
      </c>
      <c r="AR165" s="4" t="n"/>
      <c r="AS165" s="4" t="n"/>
      <c r="AT165" s="4">
        <f>AR165*(W165+7+30)</f>
        <v/>
      </c>
      <c r="AU165" s="4" t="n"/>
      <c r="AV165" s="4">
        <f>MAX(0,AT165-AD165-AC165)</f>
        <v/>
      </c>
      <c r="AW165" s="4" t="n"/>
      <c r="AX165" s="14">
        <f>TODAY()</f>
        <v/>
      </c>
      <c r="AY165" s="4" t="n"/>
      <c r="AZ165" s="4" t="n"/>
      <c r="BA165" s="16" t="n"/>
      <c r="BB165" s="16" t="n"/>
      <c r="BC165" s="16" t="n"/>
    </row>
    <row r="166" ht="14.25" customHeight="1" s="31">
      <c r="A166" s="19" t="n"/>
      <c r="B166" s="4" t="n"/>
      <c r="C166" s="4" t="n"/>
      <c r="D166" s="19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19">
        <f>ROUND((L166*M166*N166)/1000000,3)</f>
        <v/>
      </c>
      <c r="R166" s="4" t="n"/>
      <c r="S166" s="4" t="n"/>
      <c r="T166" s="4" t="n"/>
      <c r="U166" s="4" t="n"/>
      <c r="V166" s="4" t="n"/>
      <c r="W166" s="19" t="n"/>
      <c r="X166" s="4">
        <f>AR166*(W166+35+10)</f>
        <v/>
      </c>
      <c r="Y166" s="4">
        <f>AR166*(W166+35+10+45)</f>
        <v/>
      </c>
      <c r="Z166" s="4">
        <f>AA166+AB166+AC166</f>
        <v/>
      </c>
      <c r="AA166" s="4" t="n"/>
      <c r="AB166" s="4" t="n"/>
      <c r="AC166" s="4" t="n"/>
      <c r="AD166" s="4">
        <f>AA166+AB166</f>
        <v/>
      </c>
      <c r="AE166" s="13">
        <f>IF(AD166&lt;=AT166,"库存不足",IF(AD166&gt;=AT166*1.5,"库存预警","库存正常"))</f>
        <v/>
      </c>
      <c r="AF166" s="4">
        <f>MAX(AT166-AA166-AB166,0)</f>
        <v/>
      </c>
      <c r="AG166" s="4">
        <f>MAX(X166-AD166,0)</f>
        <v/>
      </c>
      <c r="AH166" s="4">
        <f>AF166-AG166</f>
        <v/>
      </c>
      <c r="AI166" s="14">
        <f>AX166+(AA166+AB166)/AR166-60</f>
        <v/>
      </c>
      <c r="AJ166" s="4" t="n"/>
      <c r="AK166" s="15" t="n"/>
      <c r="AL166" s="15" t="n"/>
      <c r="AM166" s="15" t="n"/>
      <c r="AN166" s="15" t="n"/>
      <c r="AO166" s="4">
        <f>ROUND(AK166/7,0)</f>
        <v/>
      </c>
      <c r="AP166" s="4">
        <f>ROUND(AL166/15,0)</f>
        <v/>
      </c>
      <c r="AQ166" s="4">
        <f>ROUND(AM166/30,0)</f>
        <v/>
      </c>
      <c r="AR166" s="4" t="n"/>
      <c r="AS166" s="4" t="n"/>
      <c r="AT166" s="4">
        <f>AR166*(W166+7+30)</f>
        <v/>
      </c>
      <c r="AU166" s="4" t="n"/>
      <c r="AV166" s="4">
        <f>MAX(0,AT166-AD166-AC166)</f>
        <v/>
      </c>
      <c r="AW166" s="4" t="n"/>
      <c r="AX166" s="14">
        <f>TODAY()</f>
        <v/>
      </c>
      <c r="AY166" s="4" t="n"/>
      <c r="AZ166" s="4" t="n"/>
      <c r="BA166" s="16" t="n"/>
      <c r="BB166" s="16" t="n"/>
      <c r="BC166" s="16" t="n"/>
    </row>
    <row r="167" ht="14.25" customHeight="1" s="31">
      <c r="A167" s="19" t="n"/>
      <c r="B167" s="4" t="n"/>
      <c r="C167" s="4" t="n"/>
      <c r="D167" s="19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19">
        <f>ROUND((L167*M167*N167)/1000000,3)</f>
        <v/>
      </c>
      <c r="R167" s="4" t="n"/>
      <c r="S167" s="4" t="n"/>
      <c r="T167" s="4" t="n"/>
      <c r="U167" s="4" t="n"/>
      <c r="V167" s="4" t="n"/>
      <c r="W167" s="19" t="n"/>
      <c r="X167" s="4">
        <f>AR167*(W167+35+10)</f>
        <v/>
      </c>
      <c r="Y167" s="4">
        <f>AR167*(W167+35+10+45)</f>
        <v/>
      </c>
      <c r="Z167" s="4">
        <f>AA167+AB167+AC167</f>
        <v/>
      </c>
      <c r="AA167" s="4" t="n"/>
      <c r="AB167" s="4" t="n"/>
      <c r="AC167" s="4" t="n"/>
      <c r="AD167" s="4">
        <f>AA167+AB167</f>
        <v/>
      </c>
      <c r="AE167" s="13">
        <f>IF(AD167&lt;=AT167,"库存不足",IF(AD167&gt;=AT167*1.5,"库存预警","库存正常"))</f>
        <v/>
      </c>
      <c r="AF167" s="4">
        <f>MAX(AT167-AA167-AB167,0)</f>
        <v/>
      </c>
      <c r="AG167" s="4">
        <f>MAX(X167-AD167,0)</f>
        <v/>
      </c>
      <c r="AH167" s="4">
        <f>AF167-AG167</f>
        <v/>
      </c>
      <c r="AI167" s="14">
        <f>AX167+(AA167+AB167)/AR167-60</f>
        <v/>
      </c>
      <c r="AJ167" s="4" t="n"/>
      <c r="AK167" s="15" t="n"/>
      <c r="AL167" s="15" t="n"/>
      <c r="AM167" s="15" t="n"/>
      <c r="AN167" s="15" t="n"/>
      <c r="AO167" s="4">
        <f>ROUND(AK167/7,0)</f>
        <v/>
      </c>
      <c r="AP167" s="4">
        <f>ROUND(AL167/15,0)</f>
        <v/>
      </c>
      <c r="AQ167" s="4">
        <f>ROUND(AM167/30,0)</f>
        <v/>
      </c>
      <c r="AR167" s="4" t="n"/>
      <c r="AS167" s="4" t="n"/>
      <c r="AT167" s="4">
        <f>AR167*(W167+7+30)</f>
        <v/>
      </c>
      <c r="AU167" s="4" t="n"/>
      <c r="AV167" s="4">
        <f>MAX(0,AT167-AD167-AC167)</f>
        <v/>
      </c>
      <c r="AW167" s="4" t="n"/>
      <c r="AX167" s="14">
        <f>TODAY()</f>
        <v/>
      </c>
      <c r="AY167" s="4" t="n"/>
      <c r="AZ167" s="4" t="n"/>
      <c r="BA167" s="16" t="n"/>
      <c r="BB167" s="16" t="n"/>
      <c r="BC167" s="16" t="n"/>
    </row>
    <row r="168" ht="14.25" customHeight="1" s="31">
      <c r="A168" s="4" t="n"/>
      <c r="B168" s="4" t="n"/>
      <c r="C168" s="4" t="n"/>
      <c r="D168" s="19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19">
        <f>ROUND((L168*M168*N168)/1000000,3)</f>
        <v/>
      </c>
      <c r="R168" s="4" t="n"/>
      <c r="S168" s="4" t="n"/>
      <c r="T168" s="4" t="n"/>
      <c r="U168" s="4" t="n"/>
      <c r="V168" s="4" t="n"/>
      <c r="W168" s="19" t="n"/>
      <c r="X168" s="4">
        <f>AR168*(W168+35+10)</f>
        <v/>
      </c>
      <c r="Y168" s="4">
        <f>AR168*(W168+35+10+45)</f>
        <v/>
      </c>
      <c r="Z168" s="4">
        <f>AA168+AB168+AC168</f>
        <v/>
      </c>
      <c r="AA168" s="4" t="n"/>
      <c r="AB168" s="4" t="n"/>
      <c r="AC168" s="4" t="n"/>
      <c r="AD168" s="4">
        <f>AA168+AB168</f>
        <v/>
      </c>
      <c r="AE168" s="13">
        <f>IF(AD168&lt;=AT168,"库存不足",IF(AD168&gt;=AT168*1.5,"库存预警","库存正常"))</f>
        <v/>
      </c>
      <c r="AF168" s="4">
        <f>MAX(AT168-AA168-AB168,0)</f>
        <v/>
      </c>
      <c r="AG168" s="4">
        <f>MAX(X168-AD168,0)</f>
        <v/>
      </c>
      <c r="AH168" s="4">
        <f>AF168-AG168</f>
        <v/>
      </c>
      <c r="AI168" s="14">
        <f>AX168+(AA168+AB168)/AR168-60</f>
        <v/>
      </c>
      <c r="AJ168" s="4" t="n"/>
      <c r="AK168" s="4" t="n"/>
      <c r="AL168" s="4" t="n"/>
      <c r="AM168" s="4" t="n"/>
      <c r="AN168" s="15" t="n"/>
      <c r="AO168" s="4">
        <f>ROUND(AK168/7,0)</f>
        <v/>
      </c>
      <c r="AP168" s="4">
        <f>ROUND(AL168/15,0)</f>
        <v/>
      </c>
      <c r="AQ168" s="4">
        <f>ROUND(AM168/30,0)</f>
        <v/>
      </c>
      <c r="AR168" s="4" t="n"/>
      <c r="AS168" s="4" t="n"/>
      <c r="AT168" s="4">
        <f>AR168*(W168+7+30)</f>
        <v/>
      </c>
      <c r="AU168" s="4" t="n"/>
      <c r="AV168" s="4">
        <f>MAX(0,AT168-AD168-AC168)</f>
        <v/>
      </c>
      <c r="AW168" s="4" t="n"/>
      <c r="AX168" s="14">
        <f>TODAY()</f>
        <v/>
      </c>
      <c r="AY168" s="4" t="n"/>
      <c r="AZ168" s="4" t="n"/>
      <c r="BA168" s="16" t="n"/>
      <c r="BB168" s="16" t="n"/>
      <c r="BC168" s="16" t="n"/>
    </row>
    <row r="169" ht="14.25" customHeight="1" s="31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19">
        <f>ROUND((L169*M169*N169)/1000000,3)</f>
        <v/>
      </c>
      <c r="R169" s="4" t="n"/>
      <c r="S169" s="4" t="n"/>
      <c r="T169" s="4" t="n"/>
      <c r="U169" s="4" t="n"/>
      <c r="V169" s="4" t="n"/>
      <c r="W169" s="4" t="n"/>
      <c r="X169" s="4">
        <f>AR169*(W169+35+10)</f>
        <v/>
      </c>
      <c r="Y169" s="4">
        <f>AR169*(W169+35+10+45)</f>
        <v/>
      </c>
      <c r="Z169" s="4">
        <f>AA169+AB169+AC169</f>
        <v/>
      </c>
      <c r="AA169" s="4" t="n"/>
      <c r="AB169" s="4" t="n"/>
      <c r="AC169" s="4" t="n"/>
      <c r="AD169" s="4">
        <f>AA169+AB169</f>
        <v/>
      </c>
      <c r="AE169" s="13">
        <f>IF(AD169&lt;=AT169,"库存不足",IF(AD169&gt;=AT169*1.5,"库存预警","库存正常"))</f>
        <v/>
      </c>
      <c r="AF169" s="4">
        <f>MAX(AT169-AA169-AB169,0)</f>
        <v/>
      </c>
      <c r="AG169" s="4">
        <f>MAX(X169-AD169,0)</f>
        <v/>
      </c>
      <c r="AH169" s="4">
        <f>AF169-AG169</f>
        <v/>
      </c>
      <c r="AI169" s="14">
        <f>AX169+(AA169+AB169)/AR169-60</f>
        <v/>
      </c>
      <c r="AJ169" s="4" t="n"/>
      <c r="AK169" s="4" t="n"/>
      <c r="AL169" s="4" t="n"/>
      <c r="AM169" s="4" t="n"/>
      <c r="AN169" s="15" t="n"/>
      <c r="AO169" s="4">
        <f>ROUND(AK169/7,0)</f>
        <v/>
      </c>
      <c r="AP169" s="4">
        <f>ROUND(AL169/15,0)</f>
        <v/>
      </c>
      <c r="AQ169" s="4">
        <f>ROUND(AM169/30,0)</f>
        <v/>
      </c>
      <c r="AR169" s="4" t="n"/>
      <c r="AS169" s="4" t="n"/>
      <c r="AT169" s="4">
        <f>AR169*(W169+7+30)</f>
        <v/>
      </c>
      <c r="AU169" s="4" t="n"/>
      <c r="AV169" s="4">
        <f>MAX(0,AT169-AD169-AC169)</f>
        <v/>
      </c>
      <c r="AW169" s="4" t="n"/>
      <c r="AX169" s="14">
        <f>TODAY()</f>
        <v/>
      </c>
      <c r="AY169" s="4" t="n"/>
      <c r="AZ169" s="4" t="n"/>
      <c r="BA169" s="16" t="n"/>
      <c r="BB169" s="16" t="n"/>
      <c r="BC169" s="16" t="n"/>
    </row>
    <row r="170" ht="14.25" customHeight="1" s="31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19">
        <f>ROUND((L170*M170*N170)/1000000,3)</f>
        <v/>
      </c>
      <c r="R170" s="4" t="n"/>
      <c r="S170" s="4" t="n"/>
      <c r="T170" s="4" t="n"/>
      <c r="U170" s="4" t="n"/>
      <c r="V170" s="4" t="n"/>
      <c r="W170" s="4" t="n"/>
      <c r="X170" s="4">
        <f>AR170*(W170+35+10)</f>
        <v/>
      </c>
      <c r="Y170" s="4">
        <f>AR170*(W170+35+10+45)</f>
        <v/>
      </c>
      <c r="Z170" s="4">
        <f>AA170+AB170+AC170</f>
        <v/>
      </c>
      <c r="AA170" s="4" t="n"/>
      <c r="AB170" s="4" t="n"/>
      <c r="AC170" s="4" t="n"/>
      <c r="AD170" s="4">
        <f>AA170+AB170</f>
        <v/>
      </c>
      <c r="AE170" s="13">
        <f>IF(AD170&lt;=AT170,"库存不足",IF(AD170&gt;=AT170*1.5,"库存预警","库存正常"))</f>
        <v/>
      </c>
      <c r="AF170" s="4">
        <f>MAX(AT170-AA170-AB170,0)</f>
        <v/>
      </c>
      <c r="AG170" s="4">
        <f>MAX(X170-AD170,0)</f>
        <v/>
      </c>
      <c r="AH170" s="4">
        <f>AF170-AG170</f>
        <v/>
      </c>
      <c r="AI170" s="14">
        <f>AX170+(AA170+AB170)/AR170-60</f>
        <v/>
      </c>
      <c r="AJ170" s="4" t="n"/>
      <c r="AK170" s="4" t="n"/>
      <c r="AL170" s="4" t="n"/>
      <c r="AM170" s="4" t="n"/>
      <c r="AN170" s="15" t="n"/>
      <c r="AO170" s="4">
        <f>ROUND(AK170/7,0)</f>
        <v/>
      </c>
      <c r="AP170" s="4">
        <f>ROUND(AL170/15,0)</f>
        <v/>
      </c>
      <c r="AQ170" s="4">
        <f>ROUND(AM170/30,0)</f>
        <v/>
      </c>
      <c r="AR170" s="4" t="n"/>
      <c r="AS170" s="4" t="n"/>
      <c r="AT170" s="4">
        <f>AR170*(W170+7+30)</f>
        <v/>
      </c>
      <c r="AU170" s="4" t="n"/>
      <c r="AV170" s="4">
        <f>MAX(0,AT170-AD170-AC170)</f>
        <v/>
      </c>
      <c r="AW170" s="4" t="n"/>
      <c r="AX170" s="14">
        <f>TODAY()</f>
        <v/>
      </c>
      <c r="AY170" s="4" t="n"/>
      <c r="AZ170" s="4" t="n"/>
      <c r="BA170" s="16" t="n"/>
      <c r="BB170" s="16" t="n"/>
      <c r="BC170" s="16" t="n"/>
    </row>
    <row r="171" ht="14.25" customHeight="1" s="31">
      <c r="A171" s="4" t="n"/>
      <c r="B171" s="4" t="n"/>
      <c r="C171" s="4" t="n"/>
      <c r="D171" s="4" t="n"/>
      <c r="E171" s="4" t="n"/>
      <c r="F171" s="19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19">
        <f>ROUND((L171*M171*N171)/1000000,3)</f>
        <v/>
      </c>
      <c r="R171" s="4" t="n"/>
      <c r="S171" s="4" t="n"/>
      <c r="T171" s="4" t="n"/>
      <c r="U171" s="4" t="n"/>
      <c r="V171" s="4" t="n"/>
      <c r="W171" s="4" t="n"/>
      <c r="X171" s="4">
        <f>AR171*(W171+35+10)</f>
        <v/>
      </c>
      <c r="Y171" s="4">
        <f>AR171*(W171+35+10+45)</f>
        <v/>
      </c>
      <c r="Z171" s="4">
        <f>AA171+AB171+AC171</f>
        <v/>
      </c>
      <c r="AA171" s="4" t="n"/>
      <c r="AB171" s="4" t="n"/>
      <c r="AC171" s="4" t="n"/>
      <c r="AD171" s="4">
        <f>AA171+AB171</f>
        <v/>
      </c>
      <c r="AE171" s="13">
        <f>IF(AD171&lt;=AT171,"库存不足",IF(AD171&gt;=AT171*1.5,"库存预警","库存正常"))</f>
        <v/>
      </c>
      <c r="AF171" s="4">
        <f>MAX(AT171-AA171-AB171,0)</f>
        <v/>
      </c>
      <c r="AG171" s="4">
        <f>MAX(X171-AD171,0)</f>
        <v/>
      </c>
      <c r="AH171" s="4">
        <f>AF171-AG171</f>
        <v/>
      </c>
      <c r="AI171" s="14">
        <f>AX171+(AA171+AB171)/AR171-60</f>
        <v/>
      </c>
      <c r="AJ171" s="4" t="n"/>
      <c r="AK171" s="15" t="n"/>
      <c r="AL171" s="15" t="n"/>
      <c r="AM171" s="15" t="n"/>
      <c r="AN171" s="15" t="n"/>
      <c r="AO171" s="4">
        <f>ROUND(AK171/7,0)</f>
        <v/>
      </c>
      <c r="AP171" s="4">
        <f>ROUND(AL171/15,0)</f>
        <v/>
      </c>
      <c r="AQ171" s="4">
        <f>ROUND(AM171/30,0)</f>
        <v/>
      </c>
      <c r="AR171" s="4" t="n"/>
      <c r="AS171" s="4" t="n"/>
      <c r="AT171" s="4">
        <f>AR171*(W171+7+30)</f>
        <v/>
      </c>
      <c r="AU171" s="4" t="n"/>
      <c r="AV171" s="4">
        <f>MAX(0,AT171-AD171-AC171)</f>
        <v/>
      </c>
      <c r="AW171" s="4" t="n"/>
      <c r="AX171" s="14">
        <f>TODAY()</f>
        <v/>
      </c>
      <c r="AY171" s="4" t="n"/>
      <c r="AZ171" s="4" t="n"/>
      <c r="BA171" s="16" t="n"/>
      <c r="BB171" s="16" t="n"/>
      <c r="BC171" s="16" t="n"/>
    </row>
    <row r="172" ht="14.25" customHeight="1" s="31">
      <c r="A172" s="4" t="n"/>
      <c r="B172" s="19" t="n"/>
      <c r="C172" s="19" t="n"/>
      <c r="D172" s="4" t="n"/>
      <c r="E172" s="4" t="n"/>
      <c r="F172" s="19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>
        <f>L172*M172*N172/1000000</f>
        <v/>
      </c>
      <c r="R172" s="4" t="n"/>
      <c r="S172" s="4" t="n"/>
      <c r="T172" s="4" t="n"/>
      <c r="U172" s="4" t="n"/>
      <c r="V172" s="4" t="n"/>
      <c r="W172" s="4" t="n"/>
      <c r="X172" s="4">
        <f>AR172*(W172+35+10)</f>
        <v/>
      </c>
      <c r="Y172" s="4">
        <f>AR172*(W172+35+10+45)</f>
        <v/>
      </c>
      <c r="Z172" s="4">
        <f>AA172+AB172+AC172</f>
        <v/>
      </c>
      <c r="AA172" s="4" t="n"/>
      <c r="AB172" s="4" t="n"/>
      <c r="AC172" s="4" t="n"/>
      <c r="AD172" s="4">
        <f>AA172+AB172</f>
        <v/>
      </c>
      <c r="AE172" s="13">
        <f>IF(AD172&lt;=AT172,"库存不足",IF(AD172&gt;=AT172*1.5,"库存预警","库存正常"))</f>
        <v/>
      </c>
      <c r="AF172" s="4">
        <f>MAX(AT172-AA172-AB172,0)</f>
        <v/>
      </c>
      <c r="AG172" s="4">
        <f>MAX(X172-AD172,0)</f>
        <v/>
      </c>
      <c r="AH172" s="4">
        <f>AF172-AG172</f>
        <v/>
      </c>
      <c r="AI172" s="14">
        <f>AX172+(AA172+AB172)/AR172-60</f>
        <v/>
      </c>
      <c r="AJ172" s="4" t="n"/>
      <c r="AK172" s="4" t="n"/>
      <c r="AL172" s="4" t="n"/>
      <c r="AM172" s="4" t="n"/>
      <c r="AN172" s="15" t="n"/>
      <c r="AO172" s="4">
        <f>ROUND(AK172/7,0)</f>
        <v/>
      </c>
      <c r="AP172" s="4">
        <f>ROUND(AL172/15,0)</f>
        <v/>
      </c>
      <c r="AQ172" s="4">
        <f>ROUND(AM172/30,0)</f>
        <v/>
      </c>
      <c r="AR172" s="4" t="n"/>
      <c r="AS172" s="4" t="n"/>
      <c r="AT172" s="4">
        <f>AR172*(W172+7+30)</f>
        <v/>
      </c>
      <c r="AU172" s="4" t="n"/>
      <c r="AV172" s="4">
        <f>MAX(0,AT172-AD172-AC172)</f>
        <v/>
      </c>
      <c r="AW172" s="4" t="n"/>
      <c r="AX172" s="14">
        <f>TODAY()</f>
        <v/>
      </c>
      <c r="AY172" s="4" t="n"/>
      <c r="AZ172" s="4" t="n"/>
      <c r="BA172" s="16" t="n"/>
      <c r="BB172" s="16" t="n"/>
      <c r="BC172" s="16" t="n"/>
    </row>
    <row r="173" ht="14.25" customHeight="1" s="31">
      <c r="A173" s="4" t="n"/>
      <c r="B173" s="19" t="n"/>
      <c r="C173" s="19" t="n"/>
      <c r="D173" s="4" t="n"/>
      <c r="E173" s="4" t="n"/>
      <c r="F173" s="19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>
        <f>L173*M173*N173/1000000</f>
        <v/>
      </c>
      <c r="R173" s="4" t="n"/>
      <c r="S173" s="4" t="n"/>
      <c r="T173" s="4" t="n"/>
      <c r="U173" s="4" t="n"/>
      <c r="V173" s="4" t="n"/>
      <c r="W173" s="4" t="n"/>
      <c r="X173" s="4">
        <f>AR173*(W173+30)</f>
        <v/>
      </c>
      <c r="Y173" s="4" t="n"/>
      <c r="Z173" s="4">
        <f>AA173+AB173+AC173</f>
        <v/>
      </c>
      <c r="AA173" s="4" t="n"/>
      <c r="AB173" s="4" t="n"/>
      <c r="AC173" s="4" t="n"/>
      <c r="AD173" s="4">
        <f>AA173+AB173</f>
        <v/>
      </c>
      <c r="AE173" s="13">
        <f>IF(AD173&lt;=AT173,"库存不足",IF(AD173&gt;=AT173*1.5,"库存预警","库存正常"))</f>
        <v/>
      </c>
      <c r="AF173" s="4">
        <f>MAX(AT173-AA173-AB173,0)</f>
        <v/>
      </c>
      <c r="AG173" s="4">
        <f>MAX(X173-AD173,0)</f>
        <v/>
      </c>
      <c r="AH173" s="4">
        <f>AF173-AG173</f>
        <v/>
      </c>
      <c r="AI173" s="14">
        <f>AX173+(AA173+AB173)/AR173-60</f>
        <v/>
      </c>
      <c r="AJ173" s="4" t="n"/>
      <c r="AK173" s="4" t="n"/>
      <c r="AL173" s="4" t="n"/>
      <c r="AM173" s="4" t="n"/>
      <c r="AN173" s="15" t="n"/>
      <c r="AO173" s="4">
        <f>ROUND(AK173/7,0)</f>
        <v/>
      </c>
      <c r="AP173" s="4">
        <f>ROUND(AL173/15,0)</f>
        <v/>
      </c>
      <c r="AQ173" s="4">
        <f>ROUND(AM173/30,0)</f>
        <v/>
      </c>
      <c r="AR173" s="4" t="n"/>
      <c r="AS173" s="4" t="n"/>
      <c r="AT173" s="4">
        <f>AR173*(W173+7+30)</f>
        <v/>
      </c>
      <c r="AU173" s="35" t="n"/>
      <c r="AV173" s="4">
        <f>MAX(0,AT173-AD173-AC173)</f>
        <v/>
      </c>
      <c r="AW173" s="4" t="n"/>
      <c r="AX173" s="14">
        <f>TODAY()</f>
        <v/>
      </c>
      <c r="AY173" s="4" t="n"/>
      <c r="AZ173" s="4" t="n"/>
      <c r="BA173" s="16" t="n"/>
      <c r="BB173" s="16" t="n"/>
      <c r="BC173" s="16" t="n"/>
    </row>
    <row r="174" ht="14.25" customHeight="1" s="31">
      <c r="A174" s="4" t="n"/>
      <c r="B174" s="19" t="n"/>
      <c r="C174" s="19" t="n"/>
      <c r="D174" s="4" t="n"/>
      <c r="E174" s="4" t="n"/>
      <c r="F174" s="19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>
        <f>L174*M174*N174/1000000</f>
        <v/>
      </c>
      <c r="R174" s="4" t="n"/>
      <c r="S174" s="4" t="n"/>
      <c r="T174" s="4" t="n"/>
      <c r="U174" s="4" t="n"/>
      <c r="V174" s="4" t="n"/>
      <c r="W174" s="4" t="n"/>
      <c r="X174" s="4">
        <f>AR174*(W174+30)</f>
        <v/>
      </c>
      <c r="Y174" s="4" t="n"/>
      <c r="Z174" s="4">
        <f>AA174+AB174+AC174</f>
        <v/>
      </c>
      <c r="AA174" s="4" t="n"/>
      <c r="AB174" s="4" t="n"/>
      <c r="AC174" s="4" t="n"/>
      <c r="AD174" s="4">
        <f>AA174+AB174</f>
        <v/>
      </c>
      <c r="AE174" s="13">
        <f>IF(AD174&lt;=AT174,"库存不足",IF(AD174&gt;=AT174*1.5,"库存预警","库存正常"))</f>
        <v/>
      </c>
      <c r="AF174" s="4">
        <f>MAX(AT174-AA174-AB174,0)</f>
        <v/>
      </c>
      <c r="AG174" s="4">
        <f>MAX(X174-AD174,0)</f>
        <v/>
      </c>
      <c r="AH174" s="4">
        <f>AF174-AG174</f>
        <v/>
      </c>
      <c r="AI174" s="14">
        <f>AX174+(AA174+AB174)/AR174-60</f>
        <v/>
      </c>
      <c r="AJ174" s="4" t="n"/>
      <c r="AK174" s="4" t="n"/>
      <c r="AL174" s="4" t="n"/>
      <c r="AM174" s="4" t="n"/>
      <c r="AN174" s="15" t="n"/>
      <c r="AO174" s="4">
        <f>ROUND(AK174/7,0)</f>
        <v/>
      </c>
      <c r="AP174" s="4">
        <f>ROUND(AL174/15,0)</f>
        <v/>
      </c>
      <c r="AQ174" s="4">
        <f>ROUND(AM174/30,0)</f>
        <v/>
      </c>
      <c r="AR174" s="4" t="n"/>
      <c r="AS174" s="4" t="n"/>
      <c r="AT174" s="4">
        <f>AR174*(W174+7+30)</f>
        <v/>
      </c>
      <c r="AU174" s="4" t="n"/>
      <c r="AV174" s="4">
        <f>MAX(0,AT174-AD174-AC174)</f>
        <v/>
      </c>
      <c r="AW174" s="4" t="n"/>
      <c r="AX174" s="14">
        <f>TODAY()</f>
        <v/>
      </c>
      <c r="AY174" s="4" t="n"/>
      <c r="AZ174" s="4" t="n"/>
      <c r="BA174" s="16" t="n"/>
      <c r="BB174" s="16" t="n"/>
      <c r="BC174" s="16" t="n"/>
    </row>
    <row r="175" ht="14.25" customHeight="1" s="31">
      <c r="A175" s="4" t="n"/>
      <c r="B175" s="19" t="n"/>
      <c r="C175" s="19" t="n"/>
      <c r="D175" s="4" t="n"/>
      <c r="E175" s="4" t="n"/>
      <c r="F175" s="19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>
        <f>L175*M175*N175/1000000</f>
        <v/>
      </c>
      <c r="R175" s="4" t="n"/>
      <c r="S175" s="4" t="n"/>
      <c r="T175" s="4" t="n"/>
      <c r="U175" s="4" t="n"/>
      <c r="V175" s="4" t="n"/>
      <c r="W175" s="4" t="n"/>
      <c r="X175" s="4">
        <f>AR175*(W175+35+10)</f>
        <v/>
      </c>
      <c r="Y175" s="4">
        <f>AR175*(W175+35+10+45)</f>
        <v/>
      </c>
      <c r="Z175" s="4">
        <f>AA175+AB175+AC175</f>
        <v/>
      </c>
      <c r="AA175" s="4" t="n"/>
      <c r="AB175" s="4" t="n"/>
      <c r="AC175" s="4" t="n"/>
      <c r="AD175" s="4">
        <f>AA175+AB175</f>
        <v/>
      </c>
      <c r="AE175" s="13">
        <f>IF(AD175&lt;=AT175,"库存不足",IF(AD175&gt;=AT175*1.5,"库存预警","库存正常"))</f>
        <v/>
      </c>
      <c r="AF175" s="4">
        <f>MAX(AT175-AA175-AB175,0)</f>
        <v/>
      </c>
      <c r="AG175" s="4">
        <f>MAX(X175-AD175,0)</f>
        <v/>
      </c>
      <c r="AH175" s="4">
        <f>AF175-AG175</f>
        <v/>
      </c>
      <c r="AI175" s="14">
        <f>AX175+(AA175+AB175)/AR175-60</f>
        <v/>
      </c>
      <c r="AJ175" s="4" t="n"/>
      <c r="AK175" s="4" t="n"/>
      <c r="AL175" s="4" t="n"/>
      <c r="AM175" s="4" t="n"/>
      <c r="AN175" s="15" t="n"/>
      <c r="AO175" s="4">
        <f>ROUND(AK175/7,0)</f>
        <v/>
      </c>
      <c r="AP175" s="4">
        <f>ROUND(AL175/15,0)</f>
        <v/>
      </c>
      <c r="AQ175" s="4">
        <f>ROUND(AM175/30,0)</f>
        <v/>
      </c>
      <c r="AR175" s="4" t="n"/>
      <c r="AS175" s="4" t="n"/>
      <c r="AT175" s="4">
        <f>AR175*(W175+7+30)</f>
        <v/>
      </c>
      <c r="AU175" s="4" t="n"/>
      <c r="AV175" s="4">
        <f>MAX(0,AT175-AD175-AC175)</f>
        <v/>
      </c>
      <c r="AW175" s="4" t="n"/>
      <c r="AX175" s="14">
        <f>TODAY()</f>
        <v/>
      </c>
      <c r="AY175" s="4" t="n"/>
      <c r="AZ175" s="4" t="n"/>
      <c r="BA175" s="16" t="n"/>
      <c r="BB175" s="16" t="n"/>
      <c r="BC175" s="16" t="n"/>
    </row>
    <row r="176" ht="14.25" customHeight="1" s="31">
      <c r="A176" s="4" t="n"/>
      <c r="B176" s="19" t="n"/>
      <c r="C176" s="19" t="n"/>
      <c r="D176" s="4" t="n"/>
      <c r="E176" s="4" t="n"/>
      <c r="F176" s="19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>
        <f>L176*M176*N176/1000000</f>
        <v/>
      </c>
      <c r="R176" s="4" t="n"/>
      <c r="S176" s="4" t="n"/>
      <c r="T176" s="4" t="n"/>
      <c r="U176" s="4" t="n"/>
      <c r="V176" s="4" t="n"/>
      <c r="W176" s="4" t="n"/>
      <c r="X176" s="4">
        <f>AR176*(W176+35+10)</f>
        <v/>
      </c>
      <c r="Y176" s="4">
        <f>AR176*(W176+35+10+45)</f>
        <v/>
      </c>
      <c r="Z176" s="4">
        <f>AA176+AB176+AC176</f>
        <v/>
      </c>
      <c r="AA176" s="4" t="n"/>
      <c r="AB176" s="4" t="n"/>
      <c r="AC176" s="4" t="n"/>
      <c r="AD176" s="4">
        <f>AA176+AB176</f>
        <v/>
      </c>
      <c r="AE176" s="13">
        <f>IF(AD176&lt;=AT176,"库存不足",IF(AD176&gt;=AT176*1.5,"库存预警","库存正常"))</f>
        <v/>
      </c>
      <c r="AF176" s="4">
        <f>MAX(AT176-AA176-AB176,0)</f>
        <v/>
      </c>
      <c r="AG176" s="4">
        <f>MAX(X176-AD176,0)</f>
        <v/>
      </c>
      <c r="AH176" s="4">
        <f>AF176-AG176</f>
        <v/>
      </c>
      <c r="AI176" s="14">
        <f>AX176+(AA176+AB176)/AR176-60</f>
        <v/>
      </c>
      <c r="AJ176" s="4" t="n"/>
      <c r="AK176" s="4" t="n"/>
      <c r="AL176" s="4" t="n"/>
      <c r="AM176" s="4" t="n"/>
      <c r="AN176" s="15" t="n"/>
      <c r="AO176" s="4">
        <f>ROUND(AK176/7,0)</f>
        <v/>
      </c>
      <c r="AP176" s="4">
        <f>ROUND(AL176/15,0)</f>
        <v/>
      </c>
      <c r="AQ176" s="4">
        <f>ROUND(AM176/30,0)</f>
        <v/>
      </c>
      <c r="AR176" s="4" t="n"/>
      <c r="AS176" s="4" t="n"/>
      <c r="AT176" s="4">
        <f>AR176*(W176+7+30)</f>
        <v/>
      </c>
      <c r="AU176" s="4" t="n"/>
      <c r="AV176" s="4">
        <f>MAX(0,AT176-AD176-AC176)</f>
        <v/>
      </c>
      <c r="AW176" s="4" t="n"/>
      <c r="AX176" s="14">
        <f>TODAY()</f>
        <v/>
      </c>
      <c r="AY176" s="4" t="n"/>
      <c r="AZ176" s="4" t="n"/>
      <c r="BA176" s="16" t="n"/>
      <c r="BB176" s="16" t="n"/>
      <c r="BC176" s="16" t="n"/>
    </row>
    <row r="177" ht="14.25" customHeight="1" s="31">
      <c r="A177" s="4" t="n"/>
      <c r="B177" s="19" t="n"/>
      <c r="C177" s="4" t="n"/>
      <c r="D177" s="4" t="n"/>
      <c r="E177" s="4" t="n"/>
      <c r="F177" s="19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>
        <f>L177*M177*N177/1000000</f>
        <v/>
      </c>
      <c r="R177" s="4" t="n"/>
      <c r="S177" s="4" t="n"/>
      <c r="T177" s="4" t="n"/>
      <c r="U177" s="4" t="n"/>
      <c r="V177" s="4" t="n"/>
      <c r="W177" s="4" t="n"/>
      <c r="X177" s="4">
        <f>AR177*(W177+35+10)</f>
        <v/>
      </c>
      <c r="Y177" s="4">
        <f>AR177*(W177+35+10+45)</f>
        <v/>
      </c>
      <c r="Z177" s="4">
        <f>AA177+AB177+AC177</f>
        <v/>
      </c>
      <c r="AA177" s="4" t="n"/>
      <c r="AB177" s="4" t="n"/>
      <c r="AC177" s="4" t="n"/>
      <c r="AD177" s="4">
        <f>AA177+AB177</f>
        <v/>
      </c>
      <c r="AE177" s="13">
        <f>IF(AD177&lt;=AT177,"库存不足",IF(AD177&gt;=AT177*1.5,"库存预警","库存正常"))</f>
        <v/>
      </c>
      <c r="AF177" s="4">
        <f>MAX(AT177-AA177-AB177,0)</f>
        <v/>
      </c>
      <c r="AG177" s="4">
        <f>MAX(X177-AD177,0)</f>
        <v/>
      </c>
      <c r="AH177" s="4">
        <f>AF177-AG177</f>
        <v/>
      </c>
      <c r="AI177" s="14">
        <f>AX177+(AA177+AB177)/AR177-60</f>
        <v/>
      </c>
      <c r="AJ177" s="4" t="n"/>
      <c r="AK177" s="15" t="n"/>
      <c r="AL177" s="15" t="n"/>
      <c r="AM177" s="15" t="n"/>
      <c r="AN177" s="15" t="n"/>
      <c r="AO177" s="4">
        <f>ROUND(AK177/7,0)</f>
        <v/>
      </c>
      <c r="AP177" s="4">
        <f>ROUND(AL177/15,0)</f>
        <v/>
      </c>
      <c r="AQ177" s="4">
        <f>ROUND(AM177/30,0)</f>
        <v/>
      </c>
      <c r="AR177" s="4" t="n"/>
      <c r="AS177" s="4" t="n"/>
      <c r="AT177" s="4">
        <f>AR177*(W177+7+30)</f>
        <v/>
      </c>
      <c r="AU177" s="4" t="n"/>
      <c r="AV177" s="4">
        <f>MAX(0,AT177-AD177-AC177)</f>
        <v/>
      </c>
      <c r="AW177" s="4" t="n"/>
      <c r="AX177" s="14">
        <f>TODAY()</f>
        <v/>
      </c>
      <c r="AY177" s="4" t="n"/>
      <c r="AZ177" s="4" t="n"/>
      <c r="BA177" s="16" t="n"/>
      <c r="BB177" s="16" t="n"/>
      <c r="BC177" s="16" t="n"/>
    </row>
    <row r="178" ht="14.25" customHeight="1" s="31">
      <c r="A178" s="4" t="n"/>
      <c r="B178" s="19" t="n"/>
      <c r="C178" s="4" t="n"/>
      <c r="D178" s="4" t="n"/>
      <c r="E178" s="4" t="n"/>
      <c r="F178" s="19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>
        <f>L178*M178*N178/1000000</f>
        <v/>
      </c>
      <c r="R178" s="4" t="n"/>
      <c r="S178" s="4" t="n"/>
      <c r="T178" s="4" t="n"/>
      <c r="U178" s="4" t="n"/>
      <c r="V178" s="4" t="n"/>
      <c r="W178" s="4" t="n"/>
      <c r="X178" s="4">
        <f>AR178*(W178+30)</f>
        <v/>
      </c>
      <c r="Y178" s="4" t="n"/>
      <c r="Z178" s="4">
        <f>AA178+AB178+AC178</f>
        <v/>
      </c>
      <c r="AA178" s="4" t="n"/>
      <c r="AB178" s="4" t="n"/>
      <c r="AC178" s="4" t="n"/>
      <c r="AD178" s="4">
        <f>AA178+AB178</f>
        <v/>
      </c>
      <c r="AE178" s="13">
        <f>IF(AD178&lt;=AT178,"库存不足",IF(AD178&gt;=AT178*1.5,"库存预警","库存正常"))</f>
        <v/>
      </c>
      <c r="AF178" s="4">
        <f>MAX(AT178-AA178-AB178,0)</f>
        <v/>
      </c>
      <c r="AG178" s="4">
        <f>MAX(X178-AD178,0)</f>
        <v/>
      </c>
      <c r="AH178" s="4">
        <f>AF178-AG178</f>
        <v/>
      </c>
      <c r="AI178" s="14">
        <f>AX178+(AA178+AB178)/AR178-60</f>
        <v/>
      </c>
      <c r="AJ178" s="4" t="n"/>
      <c r="AK178" s="4" t="n"/>
      <c r="AL178" s="4" t="n"/>
      <c r="AM178" s="4" t="n"/>
      <c r="AN178" s="15" t="n"/>
      <c r="AO178" s="4">
        <f>ROUND(AK178/7,0)</f>
        <v/>
      </c>
      <c r="AP178" s="4">
        <f>ROUND(AL178/15,0)</f>
        <v/>
      </c>
      <c r="AQ178" s="4">
        <f>ROUND(AM178/30,0)</f>
        <v/>
      </c>
      <c r="AR178" s="4" t="n"/>
      <c r="AS178" s="4" t="n"/>
      <c r="AT178" s="4">
        <f>AR178*(W178+7+30)</f>
        <v/>
      </c>
      <c r="AU178" s="4" t="n"/>
      <c r="AV178" s="4">
        <f>MAX(0,AT178-AD178-AC178)</f>
        <v/>
      </c>
      <c r="AW178" s="4" t="n"/>
      <c r="AX178" s="14">
        <f>TODAY()</f>
        <v/>
      </c>
      <c r="AY178" s="4" t="n"/>
      <c r="AZ178" s="4" t="n"/>
      <c r="BA178" s="16" t="n"/>
      <c r="BB178" s="16" t="n"/>
      <c r="BC178" s="16" t="n"/>
    </row>
    <row r="179" ht="14.25" customHeight="1" s="31">
      <c r="A179" s="4" t="n"/>
      <c r="B179" s="19" t="n"/>
      <c r="C179" s="4" t="n"/>
      <c r="D179" s="4" t="n"/>
      <c r="E179" s="4" t="n"/>
      <c r="F179" s="19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>
        <f>L179*M179*N179/1000000</f>
        <v/>
      </c>
      <c r="R179" s="4" t="n"/>
      <c r="S179" s="4" t="n"/>
      <c r="T179" s="4" t="n"/>
      <c r="U179" s="4" t="n"/>
      <c r="V179" s="4" t="n"/>
      <c r="W179" s="4" t="n"/>
      <c r="X179" s="4">
        <f>AR179*(W179+35+10)</f>
        <v/>
      </c>
      <c r="Y179" s="4">
        <f>AR179*(W179+35+10+45)</f>
        <v/>
      </c>
      <c r="Z179" s="4">
        <f>AA179+AB179+AC179</f>
        <v/>
      </c>
      <c r="AA179" s="4" t="n"/>
      <c r="AB179" s="4" t="n"/>
      <c r="AC179" s="4" t="n"/>
      <c r="AD179" s="4">
        <f>AA179+AB179</f>
        <v/>
      </c>
      <c r="AE179" s="13">
        <f>IF(AD179&lt;=AT179,"库存不足",IF(AD179&gt;=AT179*1.5,"库存预警","库存正常"))</f>
        <v/>
      </c>
      <c r="AF179" s="4">
        <f>MAX(AT179-AA179-AB179,0)</f>
        <v/>
      </c>
      <c r="AG179" s="4">
        <f>MAX(X179-AD179,0)</f>
        <v/>
      </c>
      <c r="AH179" s="4">
        <f>AF179-AG179</f>
        <v/>
      </c>
      <c r="AI179" s="14">
        <f>AX179+(AA179+AB179)/AR179-60</f>
        <v/>
      </c>
      <c r="AJ179" s="4" t="n"/>
      <c r="AK179" s="15" t="n"/>
      <c r="AL179" s="15" t="n"/>
      <c r="AM179" s="15" t="n"/>
      <c r="AN179" s="15" t="n"/>
      <c r="AO179" s="4">
        <f>ROUND(AK179/7,0)</f>
        <v/>
      </c>
      <c r="AP179" s="4">
        <f>ROUND(AL179/15,0)</f>
        <v/>
      </c>
      <c r="AQ179" s="4">
        <f>ROUND(AM179/30,0)</f>
        <v/>
      </c>
      <c r="AR179" s="4" t="n"/>
      <c r="AS179" s="4" t="n"/>
      <c r="AT179" s="4">
        <f>AR179*(W179+7+30)</f>
        <v/>
      </c>
      <c r="AU179" s="4" t="n"/>
      <c r="AV179" s="4">
        <f>MAX(0,AT179-AD179-AC179)</f>
        <v/>
      </c>
      <c r="AW179" s="4" t="n"/>
      <c r="AX179" s="14">
        <f>TODAY()</f>
        <v/>
      </c>
      <c r="AY179" s="4" t="n"/>
      <c r="AZ179" s="4" t="n"/>
      <c r="BA179" s="16" t="n"/>
      <c r="BB179" s="16" t="n"/>
      <c r="BC179" s="16" t="n"/>
    </row>
    <row r="180" ht="14.25" customHeight="1" s="31">
      <c r="A180" s="4" t="n"/>
      <c r="B180" s="19" t="n"/>
      <c r="C180" s="4" t="n"/>
      <c r="D180" s="4" t="n"/>
      <c r="E180" s="4" t="n"/>
      <c r="F180" s="19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>
        <f>L180*M180*N180/1000000</f>
        <v/>
      </c>
      <c r="R180" s="4" t="n"/>
      <c r="S180" s="4" t="n"/>
      <c r="T180" s="4" t="n"/>
      <c r="U180" s="4" t="n"/>
      <c r="V180" s="4" t="n"/>
      <c r="W180" s="4" t="n"/>
      <c r="X180" s="4">
        <f>AR180*(W180+30)</f>
        <v/>
      </c>
      <c r="Y180" s="4" t="n"/>
      <c r="Z180" s="4">
        <f>AA180+AB180+AC180</f>
        <v/>
      </c>
      <c r="AA180" s="4" t="n"/>
      <c r="AB180" s="4" t="n"/>
      <c r="AC180" s="4" t="n"/>
      <c r="AD180" s="4">
        <f>AA180+AB180</f>
        <v/>
      </c>
      <c r="AE180" s="13">
        <f>IF(AD180&lt;=AT180,"库存不足",IF(AD180&gt;=AT180*1.5,"库存预警","库存正常"))</f>
        <v/>
      </c>
      <c r="AF180" s="4">
        <f>MAX(AT180-AA180-AB180,0)</f>
        <v/>
      </c>
      <c r="AG180" s="4">
        <f>MAX(X180-AD180,0)</f>
        <v/>
      </c>
      <c r="AH180" s="4">
        <f>AF180-AG180</f>
        <v/>
      </c>
      <c r="AI180" s="14">
        <f>AX180+(AA180+AB180)/AR180-60</f>
        <v/>
      </c>
      <c r="AJ180" s="4" t="n"/>
      <c r="AK180" s="4" t="n"/>
      <c r="AL180" s="4" t="n"/>
      <c r="AM180" s="4" t="n"/>
      <c r="AN180" s="15" t="n"/>
      <c r="AO180" s="4">
        <f>ROUND(AK180/7,0)</f>
        <v/>
      </c>
      <c r="AP180" s="4">
        <f>ROUND(AL180/15,0)</f>
        <v/>
      </c>
      <c r="AQ180" s="4">
        <f>ROUND(AM180/30,0)</f>
        <v/>
      </c>
      <c r="AR180" s="4" t="n"/>
      <c r="AS180" s="4" t="n"/>
      <c r="AT180" s="4">
        <f>AR180*(W180+7+30)</f>
        <v/>
      </c>
      <c r="AU180" s="4" t="n"/>
      <c r="AV180" s="4">
        <f>MAX(0,AT180-AD180-AC180)</f>
        <v/>
      </c>
      <c r="AW180" s="4" t="n"/>
      <c r="AX180" s="14">
        <f>TODAY()</f>
        <v/>
      </c>
      <c r="AY180" s="4" t="n"/>
      <c r="AZ180" s="4" t="n"/>
      <c r="BA180" s="16" t="n"/>
      <c r="BB180" s="16" t="n"/>
      <c r="BC180" s="16" t="n"/>
    </row>
    <row r="181" ht="14.25" customHeight="1" s="31">
      <c r="A181" s="4" t="n"/>
      <c r="B181" s="19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19">
        <f>ROUND((L181*M181*N181)/1000000,3)</f>
        <v/>
      </c>
      <c r="R181" s="4" t="n"/>
      <c r="S181" s="4" t="n"/>
      <c r="T181" s="4" t="n"/>
      <c r="U181" s="4" t="n"/>
      <c r="V181" s="4" t="n"/>
      <c r="W181" s="4" t="n"/>
      <c r="X181" s="4">
        <f>AR181*(W181+35+10)</f>
        <v/>
      </c>
      <c r="Y181" s="4">
        <f>AR181*(W181+35+10+45)</f>
        <v/>
      </c>
      <c r="Z181" s="4">
        <f>AA181+AB181+AC181</f>
        <v/>
      </c>
      <c r="AA181" s="4" t="n"/>
      <c r="AB181" s="4" t="n"/>
      <c r="AC181" s="4" t="n"/>
      <c r="AD181" s="4">
        <f>AA181+AB181</f>
        <v/>
      </c>
      <c r="AE181" s="13">
        <f>IF(AD181&lt;=AT181,"库存不足",IF(AD181&gt;=AT181*1.5,"库存预警","库存正常"))</f>
        <v/>
      </c>
      <c r="AF181" s="4">
        <f>MAX(AT181-AA181-AB181,0)</f>
        <v/>
      </c>
      <c r="AG181" s="4">
        <f>MAX(X181-AD181,0)</f>
        <v/>
      </c>
      <c r="AH181" s="4">
        <f>AF181-AG181</f>
        <v/>
      </c>
      <c r="AI181" s="14">
        <f>AX181+(AA181+AB181)/AR181-60</f>
        <v/>
      </c>
      <c r="AJ181" s="4" t="n"/>
      <c r="AK181" s="4" t="n"/>
      <c r="AL181" s="4" t="n"/>
      <c r="AM181" s="4" t="n"/>
      <c r="AN181" s="15" t="n"/>
      <c r="AO181" s="4">
        <f>ROUND(AK181/7,0)</f>
        <v/>
      </c>
      <c r="AP181" s="4">
        <f>ROUND(AL181/15,0)</f>
        <v/>
      </c>
      <c r="AQ181" s="4">
        <f>ROUND(AM181/30,0)</f>
        <v/>
      </c>
      <c r="AR181" s="4" t="n"/>
      <c r="AS181" s="4" t="n"/>
      <c r="AT181" s="4">
        <f>AR181*(W181+7+30)</f>
        <v/>
      </c>
      <c r="AU181" s="4" t="n"/>
      <c r="AV181" s="4">
        <f>MAX(0,AT181-AD181-AC181)</f>
        <v/>
      </c>
      <c r="AW181" s="4" t="n"/>
      <c r="AX181" s="14">
        <f>TODAY()</f>
        <v/>
      </c>
      <c r="AY181" s="4" t="n"/>
      <c r="AZ181" s="4" t="n"/>
      <c r="BA181" s="16" t="n"/>
      <c r="BB181" s="16" t="n"/>
      <c r="BC181" s="16" t="n"/>
    </row>
    <row r="182" ht="14.25" customHeight="1" s="31">
      <c r="A182" s="4" t="n"/>
      <c r="B182" s="19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19">
        <f>ROUND((L182*M182*N182)/1000000,3)</f>
        <v/>
      </c>
      <c r="R182" s="4" t="n"/>
      <c r="S182" s="4" t="n"/>
      <c r="T182" s="4" t="n"/>
      <c r="U182" s="4" t="n"/>
      <c r="V182" s="4" t="n"/>
      <c r="W182" s="4" t="n"/>
      <c r="X182" s="4">
        <f>AR182*(W182+35+10)</f>
        <v/>
      </c>
      <c r="Y182" s="4">
        <f>AR182*(W182+35+10+45)</f>
        <v/>
      </c>
      <c r="Z182" s="4">
        <f>AA182+AB182+AC182</f>
        <v/>
      </c>
      <c r="AA182" s="4" t="n"/>
      <c r="AB182" s="4" t="n"/>
      <c r="AC182" s="4" t="n"/>
      <c r="AD182" s="4">
        <f>AA182+AB182</f>
        <v/>
      </c>
      <c r="AE182" s="13">
        <f>IF(AD182&lt;=AT182,"库存不足",IF(AD182&gt;=AT182*1.5,"库存预警","库存正常"))</f>
        <v/>
      </c>
      <c r="AF182" s="4">
        <f>MAX(AT182-AA182-AB182,0)</f>
        <v/>
      </c>
      <c r="AG182" s="4">
        <f>MAX(X182-AD182,0)</f>
        <v/>
      </c>
      <c r="AH182" s="4">
        <f>AF182-AG182</f>
        <v/>
      </c>
      <c r="AI182" s="14">
        <f>AX182+(AA182+AB182)/AR182-60</f>
        <v/>
      </c>
      <c r="AJ182" s="4" t="n"/>
      <c r="AK182" s="15" t="n"/>
      <c r="AL182" s="15" t="n"/>
      <c r="AM182" s="15" t="n"/>
      <c r="AN182" s="15" t="n"/>
      <c r="AO182" s="4">
        <f>ROUND(AK182/7,0)</f>
        <v/>
      </c>
      <c r="AP182" s="4">
        <f>ROUND(AL182/15,0)</f>
        <v/>
      </c>
      <c r="AQ182" s="4">
        <f>ROUND(AM182/30,0)</f>
        <v/>
      </c>
      <c r="AR182" s="4" t="n"/>
      <c r="AS182" s="4" t="n"/>
      <c r="AT182" s="4">
        <f>AR182*(W182+7+30)</f>
        <v/>
      </c>
      <c r="AU182" s="4" t="n"/>
      <c r="AV182" s="4">
        <f>MAX(0,AT182-AD182-AC182)</f>
        <v/>
      </c>
      <c r="AW182" s="4" t="n"/>
      <c r="AX182" s="14">
        <f>TODAY()</f>
        <v/>
      </c>
      <c r="AY182" s="4" t="n"/>
      <c r="AZ182" s="4" t="n"/>
      <c r="BA182" s="16" t="n"/>
      <c r="BB182" s="16" t="n"/>
      <c r="BC182" s="16" t="n"/>
    </row>
    <row r="183" ht="14.25" customHeight="1" s="31">
      <c r="A183" s="4" t="n"/>
      <c r="B183" s="19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19">
        <f>ROUND((L183*M183*N183)/1000000,3)</f>
        <v/>
      </c>
      <c r="R183" s="4" t="n"/>
      <c r="S183" s="4" t="n"/>
      <c r="T183" s="4" t="n"/>
      <c r="U183" s="4" t="n"/>
      <c r="V183" s="4" t="n"/>
      <c r="W183" s="4" t="n"/>
      <c r="X183" s="4">
        <f>AR183*(W183+35+10)</f>
        <v/>
      </c>
      <c r="Y183" s="4">
        <f>AR183*(W183+35+10+45)</f>
        <v/>
      </c>
      <c r="Z183" s="4">
        <f>AA183+AB183+AC183</f>
        <v/>
      </c>
      <c r="AA183" s="4" t="n"/>
      <c r="AB183" s="4" t="n"/>
      <c r="AC183" s="4" t="n"/>
      <c r="AD183" s="4">
        <f>AA183+AB183</f>
        <v/>
      </c>
      <c r="AE183" s="13">
        <f>IF(AD183&lt;=AT183,"库存不足",IF(AD183&gt;=AT183*1.5,"库存预警","库存正常"))</f>
        <v/>
      </c>
      <c r="AF183" s="4">
        <f>MAX(AT183-AA183-AB183,0)</f>
        <v/>
      </c>
      <c r="AG183" s="4">
        <f>MAX(X183-AD183,0)</f>
        <v/>
      </c>
      <c r="AH183" s="4">
        <f>AF183-AG183</f>
        <v/>
      </c>
      <c r="AI183" s="14">
        <f>AX183+(AA183+AB183)/AR183-60</f>
        <v/>
      </c>
      <c r="AJ183" s="4" t="n"/>
      <c r="AK183" s="15" t="n"/>
      <c r="AL183" s="15" t="n"/>
      <c r="AM183" s="15" t="n"/>
      <c r="AN183" s="15" t="n"/>
      <c r="AO183" s="4">
        <f>ROUND(AK183/7,0)</f>
        <v/>
      </c>
      <c r="AP183" s="4">
        <f>ROUND(AL183/15,0)</f>
        <v/>
      </c>
      <c r="AQ183" s="4">
        <f>ROUND(AM183/30,0)</f>
        <v/>
      </c>
      <c r="AR183" s="4" t="n"/>
      <c r="AS183" s="4" t="n"/>
      <c r="AT183" s="4">
        <f>AR183*(W183+7+30)</f>
        <v/>
      </c>
      <c r="AU183" s="4" t="n"/>
      <c r="AV183" s="4">
        <f>MAX(0,AT183-AD183-AC183)</f>
        <v/>
      </c>
      <c r="AW183" s="4" t="n"/>
      <c r="AX183" s="14">
        <f>TODAY()</f>
        <v/>
      </c>
      <c r="AY183" s="4" t="n"/>
      <c r="AZ183" s="4" t="n"/>
      <c r="BA183" s="16" t="n"/>
      <c r="BB183" s="16" t="n"/>
      <c r="BC183" s="16" t="n"/>
    </row>
    <row r="184" ht="14.25" customHeight="1" s="31">
      <c r="A184" s="4" t="n"/>
      <c r="B184" s="19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19">
        <f>ROUND((L184*M184*N184)/1000000,3)</f>
        <v/>
      </c>
      <c r="R184" s="4" t="n"/>
      <c r="S184" s="4" t="n"/>
      <c r="T184" s="4" t="n"/>
      <c r="U184" s="4" t="n"/>
      <c r="V184" s="4" t="n"/>
      <c r="W184" s="4" t="n"/>
      <c r="X184" s="4">
        <f>AR184*(W184+35+10)</f>
        <v/>
      </c>
      <c r="Y184" s="4">
        <f>AR184*(W184+35+10+45)</f>
        <v/>
      </c>
      <c r="Z184" s="4">
        <f>AA184+AB184+AC184</f>
        <v/>
      </c>
      <c r="AA184" s="4" t="n"/>
      <c r="AB184" s="4" t="n"/>
      <c r="AC184" s="4" t="n"/>
      <c r="AD184" s="4">
        <f>AA184+AB184</f>
        <v/>
      </c>
      <c r="AE184" s="13">
        <f>IF(AD184&lt;=AT184,"库存不足",IF(AD184&gt;=AT184*1.5,"库存预警","库存正常"))</f>
        <v/>
      </c>
      <c r="AF184" s="4">
        <f>MAX(AT184-AA184-AB184,0)</f>
        <v/>
      </c>
      <c r="AG184" s="4">
        <f>MAX(X184-AD184,0)</f>
        <v/>
      </c>
      <c r="AH184" s="4">
        <f>AF184-AG184</f>
        <v/>
      </c>
      <c r="AI184" s="14">
        <f>AX184+(AA184+AB184)/AR184-60</f>
        <v/>
      </c>
      <c r="AJ184" s="4" t="n"/>
      <c r="AK184" s="4" t="n"/>
      <c r="AL184" s="4" t="n"/>
      <c r="AM184" s="4" t="n"/>
      <c r="AN184" s="15" t="n"/>
      <c r="AO184" s="4">
        <f>ROUND(AK184/7,0)</f>
        <v/>
      </c>
      <c r="AP184" s="4">
        <f>ROUND(AL184/15,0)</f>
        <v/>
      </c>
      <c r="AQ184" s="4">
        <f>ROUND(AM184/30,0)</f>
        <v/>
      </c>
      <c r="AR184" s="4" t="n"/>
      <c r="AS184" s="4" t="n"/>
      <c r="AT184" s="4">
        <f>AR184*(W184+7+30)</f>
        <v/>
      </c>
      <c r="AU184" s="4" t="n"/>
      <c r="AV184" s="4">
        <f>MAX(0,AT184-AD184-AC184)</f>
        <v/>
      </c>
      <c r="AW184" s="4" t="n"/>
      <c r="AX184" s="14">
        <f>TODAY()</f>
        <v/>
      </c>
      <c r="AY184" s="4" t="n"/>
      <c r="AZ184" s="4" t="n"/>
      <c r="BA184" s="16" t="n"/>
      <c r="BB184" s="16" t="n"/>
      <c r="BC184" s="16" t="n"/>
    </row>
    <row r="185" ht="14.25" customHeight="1" s="31">
      <c r="A185" s="4" t="n"/>
      <c r="B185" s="19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19">
        <f>ROUND((L185*M185*N185)/1000000,3)</f>
        <v/>
      </c>
      <c r="R185" s="4" t="n"/>
      <c r="S185" s="4" t="n"/>
      <c r="T185" s="4" t="n"/>
      <c r="U185" s="4" t="n"/>
      <c r="V185" s="4" t="n"/>
      <c r="W185" s="4" t="n"/>
      <c r="X185" s="4">
        <f>AR185*(W185+35+10)</f>
        <v/>
      </c>
      <c r="Y185" s="4">
        <f>AR185*(W185+35+10+45)</f>
        <v/>
      </c>
      <c r="Z185" s="4">
        <f>AA185+AB185+AC185</f>
        <v/>
      </c>
      <c r="AA185" s="4" t="n"/>
      <c r="AB185" s="4" t="n"/>
      <c r="AC185" s="4" t="n"/>
      <c r="AD185" s="4">
        <f>AA185+AB185</f>
        <v/>
      </c>
      <c r="AE185" s="13">
        <f>IF(AD185&lt;=AT185,"库存不足",IF(AD185&gt;=AT185*1.5,"库存预警","库存正常"))</f>
        <v/>
      </c>
      <c r="AF185" s="4">
        <f>MAX(AT185-AA185-AB185,0)</f>
        <v/>
      </c>
      <c r="AG185" s="4">
        <f>MAX(X185-AD185,0)</f>
        <v/>
      </c>
      <c r="AH185" s="4">
        <f>AF185-AG185</f>
        <v/>
      </c>
      <c r="AI185" s="14">
        <f>AX185+(AA185+AB185)/AR185-60</f>
        <v/>
      </c>
      <c r="AJ185" s="4" t="n"/>
      <c r="AK185" s="15" t="n"/>
      <c r="AL185" s="15" t="n"/>
      <c r="AM185" s="15" t="n"/>
      <c r="AN185" s="15" t="n"/>
      <c r="AO185" s="4">
        <f>ROUND(AK185/7,0)</f>
        <v/>
      </c>
      <c r="AP185" s="4">
        <f>ROUND(AL185/15,0)</f>
        <v/>
      </c>
      <c r="AQ185" s="4">
        <f>ROUND(AM185/30,0)</f>
        <v/>
      </c>
      <c r="AR185" s="4" t="n"/>
      <c r="AS185" s="4" t="n"/>
      <c r="AT185" s="4">
        <f>AR185*(W185+7+30)</f>
        <v/>
      </c>
      <c r="AU185" s="4" t="n"/>
      <c r="AV185" s="4">
        <f>MAX(0,AT185-AD185-AC185)</f>
        <v/>
      </c>
      <c r="AW185" s="4" t="n"/>
      <c r="AX185" s="14">
        <f>TODAY()</f>
        <v/>
      </c>
      <c r="AY185" s="4" t="n"/>
      <c r="AZ185" s="4" t="n"/>
      <c r="BA185" s="16" t="n"/>
      <c r="BB185" s="16" t="n"/>
      <c r="BC185" s="16" t="n"/>
    </row>
    <row r="186" ht="14.25" customHeight="1" s="31">
      <c r="A186" s="4" t="n"/>
      <c r="B186" s="19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19">
        <f>ROUND((L186*M186*N186)/1000000,3)</f>
        <v/>
      </c>
      <c r="R186" s="4" t="n"/>
      <c r="S186" s="4" t="n"/>
      <c r="T186" s="4" t="n"/>
      <c r="U186" s="4" t="n"/>
      <c r="V186" s="4" t="n"/>
      <c r="W186" s="4" t="n"/>
      <c r="X186" s="4">
        <f>AR186*(W186+35+10)</f>
        <v/>
      </c>
      <c r="Y186" s="4">
        <f>AR186*(W186+35+10+45)</f>
        <v/>
      </c>
      <c r="Z186" s="4">
        <f>AA186+AB186+AC186</f>
        <v/>
      </c>
      <c r="AA186" s="4" t="n"/>
      <c r="AB186" s="4" t="n"/>
      <c r="AC186" s="4" t="n"/>
      <c r="AD186" s="4">
        <f>AA186+AB186</f>
        <v/>
      </c>
      <c r="AE186" s="13">
        <f>IF(AD186&lt;=AT186,"库存不足",IF(AD186&gt;=AT186*1.5,"库存预警","库存正常"))</f>
        <v/>
      </c>
      <c r="AF186" s="4">
        <f>MAX(AT186-AA186-AB186,0)</f>
        <v/>
      </c>
      <c r="AG186" s="4">
        <f>MAX(X186-AD186,0)</f>
        <v/>
      </c>
      <c r="AH186" s="4">
        <f>AF186-AG186</f>
        <v/>
      </c>
      <c r="AI186" s="14">
        <f>AX186+(AA186+AB186)/AR186-60</f>
        <v/>
      </c>
      <c r="AJ186" s="4" t="n"/>
      <c r="AK186" s="15" t="n"/>
      <c r="AL186" s="15" t="n"/>
      <c r="AM186" s="15" t="n"/>
      <c r="AN186" s="15" t="n"/>
      <c r="AO186" s="4">
        <f>ROUND(AK186/7,0)</f>
        <v/>
      </c>
      <c r="AP186" s="4">
        <f>ROUND(AL186/15,0)</f>
        <v/>
      </c>
      <c r="AQ186" s="4">
        <f>ROUND(AM186/30,0)</f>
        <v/>
      </c>
      <c r="AR186" s="4" t="n"/>
      <c r="AS186" s="4" t="n"/>
      <c r="AT186" s="4">
        <f>AR186*(W186+7+30)</f>
        <v/>
      </c>
      <c r="AU186" s="4" t="n"/>
      <c r="AV186" s="4">
        <f>MAX(0,AT186-AD186-AC186)</f>
        <v/>
      </c>
      <c r="AW186" s="4" t="n"/>
      <c r="AX186" s="14">
        <f>TODAY()</f>
        <v/>
      </c>
      <c r="AY186" s="4" t="n"/>
      <c r="AZ186" s="4" t="n"/>
      <c r="BA186" s="16" t="n"/>
      <c r="BB186" s="16" t="n"/>
      <c r="BC186" s="16" t="n"/>
    </row>
    <row r="187" ht="14.25" customHeight="1" s="31">
      <c r="A187" s="4" t="n"/>
      <c r="B187" s="4" t="n"/>
      <c r="C187" s="4" t="n"/>
      <c r="D187" s="4" t="n"/>
      <c r="E187" s="19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>
        <f>AR187*(W187+35+10)</f>
        <v/>
      </c>
      <c r="Y187" s="4">
        <f>AR187*(W187+35+10+45)</f>
        <v/>
      </c>
      <c r="Z187" s="4">
        <f>AA187+AB187+AC187</f>
        <v/>
      </c>
      <c r="AA187" s="4" t="n"/>
      <c r="AB187" s="4" t="n"/>
      <c r="AC187" s="4" t="n"/>
      <c r="AD187" s="4">
        <f>AA187+AB187</f>
        <v/>
      </c>
      <c r="AE187" s="13">
        <f>IF(AD187&lt;=AT187,"库存不足",IF(AD187&gt;=AT187*1.5,"库存预警","库存正常"))</f>
        <v/>
      </c>
      <c r="AF187" s="4">
        <f>MAX(AT187-AA187-AB187,0)</f>
        <v/>
      </c>
      <c r="AG187" s="4">
        <f>MAX(X187-AD187,0)</f>
        <v/>
      </c>
      <c r="AH187" s="4">
        <f>AF187-AG187</f>
        <v/>
      </c>
      <c r="AI187" s="14">
        <f>AX187+(AA187+AB187)/AR187-60</f>
        <v/>
      </c>
      <c r="AJ187" s="4" t="n"/>
      <c r="AK187" s="4" t="n"/>
      <c r="AL187" s="4" t="n"/>
      <c r="AM187" s="4" t="n"/>
      <c r="AN187" s="15" t="n"/>
      <c r="AO187" s="4">
        <f>ROUND(AK187/7,0)</f>
        <v/>
      </c>
      <c r="AP187" s="4">
        <f>ROUND(AL187/15,0)</f>
        <v/>
      </c>
      <c r="AQ187" s="4">
        <f>ROUND(AM187/30,0)</f>
        <v/>
      </c>
      <c r="AR187" s="4" t="n"/>
      <c r="AS187" s="4" t="n"/>
      <c r="AT187" s="4">
        <f>AR187*(W187+7+30)</f>
        <v/>
      </c>
      <c r="AU187" s="4" t="n"/>
      <c r="AV187" s="4">
        <f>MAX(0,AT187-AD187-AC187)</f>
        <v/>
      </c>
      <c r="AW187" s="4" t="n"/>
      <c r="AX187" s="14">
        <f>TODAY()</f>
        <v/>
      </c>
      <c r="AY187" s="4" t="n"/>
      <c r="AZ187" s="4" t="n"/>
      <c r="BA187" s="16" t="n"/>
      <c r="BB187" s="16" t="n"/>
      <c r="BC187" s="16" t="n"/>
    </row>
    <row r="188" ht="14.25" customHeight="1" s="31">
      <c r="A188" s="4" t="n"/>
      <c r="B188" s="4" t="n"/>
      <c r="C188" s="19" t="n"/>
      <c r="D188" s="4" t="n"/>
      <c r="E188" s="19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>
        <f>AR188*(W188+35+10)</f>
        <v/>
      </c>
      <c r="Y188" s="4">
        <f>AR188*(W188+35+10+45)</f>
        <v/>
      </c>
      <c r="Z188" s="4">
        <f>AA188+AB188+AC188</f>
        <v/>
      </c>
      <c r="AA188" s="4" t="n"/>
      <c r="AB188" s="4" t="n"/>
      <c r="AC188" s="4" t="n"/>
      <c r="AD188" s="4">
        <f>AA188+AB188</f>
        <v/>
      </c>
      <c r="AE188" s="13">
        <f>IF(AD188&lt;=AT188,"库存不足",IF(AD188&gt;=AT188*1.5,"库存预警","库存正常"))</f>
        <v/>
      </c>
      <c r="AF188" s="4">
        <f>MAX(AT188-AA188-AB188,0)</f>
        <v/>
      </c>
      <c r="AG188" s="4">
        <f>MAX(X188-AD188,0)</f>
        <v/>
      </c>
      <c r="AH188" s="4">
        <f>AF188-AG188</f>
        <v/>
      </c>
      <c r="AI188" s="14">
        <f>AX188+(AA188+AB188)/AR188-60</f>
        <v/>
      </c>
      <c r="AJ188" s="4" t="n"/>
      <c r="AK188" s="4" t="n"/>
      <c r="AL188" s="4" t="n"/>
      <c r="AM188" s="4" t="n"/>
      <c r="AN188" s="15" t="n"/>
      <c r="AO188" s="4">
        <f>ROUND(AK188/7,0)</f>
        <v/>
      </c>
      <c r="AP188" s="4">
        <f>ROUND(AL188/15,0)</f>
        <v/>
      </c>
      <c r="AQ188" s="4">
        <f>ROUND(AM188/30,0)</f>
        <v/>
      </c>
      <c r="AR188" s="4" t="n"/>
      <c r="AS188" s="4" t="n"/>
      <c r="AT188" s="4">
        <f>AR188*(W188+7+30)</f>
        <v/>
      </c>
      <c r="AU188" s="4" t="n"/>
      <c r="AV188" s="4">
        <f>MAX(0,AT188-AD188-AC188)</f>
        <v/>
      </c>
      <c r="AW188" s="4" t="n"/>
      <c r="AX188" s="14">
        <f>TODAY()</f>
        <v/>
      </c>
      <c r="AY188" s="4" t="n"/>
      <c r="AZ188" s="4" t="n"/>
      <c r="BA188" s="16" t="n"/>
      <c r="BB188" s="16" t="n"/>
      <c r="BC188" s="16" t="n"/>
    </row>
    <row r="189" ht="14.25" customHeight="1" s="31">
      <c r="A189" s="4" t="n"/>
      <c r="B189" s="4" t="n"/>
      <c r="C189" s="19" t="n"/>
      <c r="D189" s="19" t="n"/>
      <c r="E189" s="19" t="n"/>
      <c r="F189" s="19" t="n"/>
      <c r="G189" s="34" t="n"/>
      <c r="H189" s="34" t="n"/>
      <c r="I189" s="34" t="n"/>
      <c r="J189" s="19" t="n"/>
      <c r="K189" s="19" t="n"/>
      <c r="L189" s="19" t="n"/>
      <c r="M189" s="19" t="n"/>
      <c r="N189" s="19" t="n"/>
      <c r="O189" s="19" t="n"/>
      <c r="P189" s="19" t="n"/>
      <c r="Q189" s="19">
        <f>ROUND((L189*M189*N189)/1000000,3)</f>
        <v/>
      </c>
      <c r="R189" s="19" t="n"/>
      <c r="S189" s="19" t="n"/>
      <c r="T189" s="4" t="n"/>
      <c r="U189" s="4" t="n"/>
      <c r="V189" s="19" t="n"/>
      <c r="W189" s="19" t="n"/>
      <c r="X189" s="4">
        <f>AR189*(W189+35+10)</f>
        <v/>
      </c>
      <c r="Y189" s="4">
        <f>AR189*(W189+35+10+45)</f>
        <v/>
      </c>
      <c r="Z189" s="4">
        <f>AA189+AB189+AC189</f>
        <v/>
      </c>
      <c r="AA189" s="4" t="n"/>
      <c r="AB189" s="4" t="n"/>
      <c r="AC189" s="4" t="n"/>
      <c r="AD189" s="4">
        <f>AA189+AB189</f>
        <v/>
      </c>
      <c r="AE189" s="13">
        <f>IF(AD189&lt;=AT189,"库存不足",IF(AD189&gt;=AT189*1.5,"库存预警","库存正常"))</f>
        <v/>
      </c>
      <c r="AF189" s="4">
        <f>MAX(AT189-AA189-AB189,0)</f>
        <v/>
      </c>
      <c r="AG189" s="4">
        <f>MAX(X189-AD189,0)</f>
        <v/>
      </c>
      <c r="AH189" s="4">
        <f>AF189-AG189</f>
        <v/>
      </c>
      <c r="AI189" s="14">
        <f>AX189+(AA189+AB189)/AR189-60</f>
        <v/>
      </c>
      <c r="AJ189" s="4" t="n"/>
      <c r="AK189" s="15" t="n"/>
      <c r="AL189" s="15" t="n"/>
      <c r="AM189" s="15" t="n"/>
      <c r="AN189" s="15" t="n"/>
      <c r="AO189" s="4">
        <f>ROUND(AK189/7,0)</f>
        <v/>
      </c>
      <c r="AP189" s="4">
        <f>ROUND(AL189/15,0)</f>
        <v/>
      </c>
      <c r="AQ189" s="4">
        <f>ROUND(AM189/30,0)</f>
        <v/>
      </c>
      <c r="AR189" s="4" t="n"/>
      <c r="AS189" s="4" t="n"/>
      <c r="AT189" s="4">
        <f>AR189*(W189+7+30)</f>
        <v/>
      </c>
      <c r="AU189" s="4" t="n"/>
      <c r="AV189" s="4">
        <f>MAX(0,AT189-AD189-AC189)</f>
        <v/>
      </c>
      <c r="AW189" s="4" t="n"/>
      <c r="AX189" s="14">
        <f>TODAY()</f>
        <v/>
      </c>
      <c r="AY189" s="4" t="n"/>
      <c r="AZ189" s="4" t="n"/>
      <c r="BA189" s="16" t="n"/>
      <c r="BB189" s="16" t="n"/>
      <c r="BC189" s="16" t="n"/>
    </row>
    <row r="190" ht="14.25" customHeight="1" s="31">
      <c r="A190" s="4" t="n"/>
      <c r="B190" s="19" t="n"/>
      <c r="C190" s="4" t="n"/>
      <c r="D190" s="19" t="n"/>
      <c r="E190" s="19" t="n"/>
      <c r="F190" s="19" t="n"/>
      <c r="G190" s="34" t="n"/>
      <c r="H190" s="34" t="n"/>
      <c r="I190" s="34" t="n"/>
      <c r="J190" s="19" t="n"/>
      <c r="K190" s="19" t="n"/>
      <c r="L190" s="19" t="n"/>
      <c r="M190" s="19" t="n"/>
      <c r="N190" s="19" t="n"/>
      <c r="O190" s="19" t="n"/>
      <c r="P190" s="19" t="n"/>
      <c r="Q190" s="19">
        <f>ROUND((L190*M190*N190)/1000000,3)</f>
        <v/>
      </c>
      <c r="R190" s="19" t="n"/>
      <c r="S190" s="19" t="n"/>
      <c r="T190" s="4" t="n"/>
      <c r="U190" s="4" t="n"/>
      <c r="V190" s="19" t="n"/>
      <c r="W190" s="19" t="n"/>
      <c r="X190" s="4">
        <f>AR190*(W190+35+10)</f>
        <v/>
      </c>
      <c r="Y190" s="4">
        <f>AR190*(W190+35+10+45)</f>
        <v/>
      </c>
      <c r="Z190" s="4">
        <f>AA190+AB190+AC190</f>
        <v/>
      </c>
      <c r="AA190" s="4" t="n"/>
      <c r="AB190" s="4" t="n"/>
      <c r="AC190" s="4" t="n"/>
      <c r="AD190" s="4">
        <f>AA190+AB190</f>
        <v/>
      </c>
      <c r="AE190" s="13">
        <f>IF(AD190&lt;=AT190,"库存不足",IF(AD190&gt;=AT190*1.5,"库存预警","库存正常"))</f>
        <v/>
      </c>
      <c r="AF190" s="4">
        <f>MAX(AT190-AA190-AB190,0)</f>
        <v/>
      </c>
      <c r="AG190" s="4">
        <f>MAX(X190-AD190,0)</f>
        <v/>
      </c>
      <c r="AH190" s="4">
        <f>AF190-AG190</f>
        <v/>
      </c>
      <c r="AI190" s="14">
        <f>AX190+(AA190+AB190)/AR190-60</f>
        <v/>
      </c>
      <c r="AJ190" s="4" t="n"/>
      <c r="AK190" s="15" t="n"/>
      <c r="AL190" s="15" t="n"/>
      <c r="AM190" s="15" t="n"/>
      <c r="AN190" s="15" t="n"/>
      <c r="AO190" s="4">
        <f>ROUND(AK190/7,0)</f>
        <v/>
      </c>
      <c r="AP190" s="4">
        <f>ROUND(AL190/15,0)</f>
        <v/>
      </c>
      <c r="AQ190" s="4">
        <f>ROUND(AM190/30,0)</f>
        <v/>
      </c>
      <c r="AR190" s="4" t="n"/>
      <c r="AS190" s="4" t="n"/>
      <c r="AT190" s="4">
        <f>AR190*(W190+7+30)</f>
        <v/>
      </c>
      <c r="AU190" s="4" t="n"/>
      <c r="AV190" s="4">
        <f>MAX(0,AT190-AD190-AC190)</f>
        <v/>
      </c>
      <c r="AW190" s="4" t="n"/>
      <c r="AX190" s="14">
        <f>TODAY()</f>
        <v/>
      </c>
      <c r="AY190" s="4" t="n"/>
      <c r="AZ190" s="4" t="n"/>
      <c r="BA190" s="16" t="n"/>
      <c r="BB190" s="16" t="n"/>
      <c r="BC190" s="16" t="n"/>
    </row>
    <row r="191" ht="14.25" customHeight="1" s="31">
      <c r="A191" s="4" t="n"/>
      <c r="B191" s="19" t="n"/>
      <c r="C191" s="4" t="n"/>
      <c r="D191" s="19" t="n"/>
      <c r="E191" s="19" t="n"/>
      <c r="F191" s="19" t="n"/>
      <c r="G191" s="34" t="n"/>
      <c r="H191" s="34" t="n"/>
      <c r="I191" s="34" t="n"/>
      <c r="J191" s="19" t="n"/>
      <c r="K191" s="19" t="n"/>
      <c r="L191" s="19" t="n"/>
      <c r="M191" s="19" t="n"/>
      <c r="N191" s="19" t="n"/>
      <c r="O191" s="19" t="n"/>
      <c r="P191" s="19" t="n"/>
      <c r="Q191" s="19">
        <f>ROUND((L191*M191*N191)/1000000,3)</f>
        <v/>
      </c>
      <c r="R191" s="19" t="n"/>
      <c r="S191" s="19" t="n"/>
      <c r="T191" s="4" t="n"/>
      <c r="U191" s="4" t="n"/>
      <c r="V191" s="19" t="n"/>
      <c r="W191" s="19" t="n"/>
      <c r="X191" s="4">
        <f>AR191*(W191+35+10)</f>
        <v/>
      </c>
      <c r="Y191" s="4">
        <f>AR191*(W191+35+10+45)</f>
        <v/>
      </c>
      <c r="Z191" s="4">
        <f>AA191+AB191+AC191</f>
        <v/>
      </c>
      <c r="AA191" s="4" t="n"/>
      <c r="AB191" s="4" t="n"/>
      <c r="AC191" s="4" t="n"/>
      <c r="AD191" s="4">
        <f>AA191+AB191</f>
        <v/>
      </c>
      <c r="AE191" s="13">
        <f>IF(AD191&lt;=AT191,"库存不足",IF(AD191&gt;=AT191*1.5,"库存预警","库存正常"))</f>
        <v/>
      </c>
      <c r="AF191" s="4">
        <f>MAX(AT191-AA191-AB191,0)</f>
        <v/>
      </c>
      <c r="AG191" s="4">
        <f>MAX(X191-AD191,0)</f>
        <v/>
      </c>
      <c r="AH191" s="4">
        <f>AF191-AG191</f>
        <v/>
      </c>
      <c r="AI191" s="14">
        <f>AX191+(AA191+AB191)/AR191-60</f>
        <v/>
      </c>
      <c r="AJ191" s="4" t="n"/>
      <c r="AK191" s="4" t="n"/>
      <c r="AL191" s="4" t="n"/>
      <c r="AM191" s="4" t="n"/>
      <c r="AN191" s="15" t="n"/>
      <c r="AO191" s="4">
        <f>ROUND(AK191/7,0)</f>
        <v/>
      </c>
      <c r="AP191" s="4">
        <f>ROUND(AL191/15,0)</f>
        <v/>
      </c>
      <c r="AQ191" s="4">
        <f>ROUND(AM191/30,0)</f>
        <v/>
      </c>
      <c r="AR191" s="4" t="n"/>
      <c r="AS191" s="4" t="n"/>
      <c r="AT191" s="4">
        <f>AR191*(W191+7+30)</f>
        <v/>
      </c>
      <c r="AU191" s="4" t="n"/>
      <c r="AV191" s="4">
        <f>MAX(0,AT191-AD191-AC191)</f>
        <v/>
      </c>
      <c r="AW191" s="4" t="n"/>
      <c r="AX191" s="14">
        <f>TODAY()</f>
        <v/>
      </c>
      <c r="AY191" s="4" t="n"/>
      <c r="AZ191" s="4" t="n"/>
      <c r="BA191" s="16" t="n"/>
      <c r="BB191" s="16" t="n"/>
      <c r="BC191" s="16" t="n"/>
    </row>
    <row r="192" ht="14.25" customHeight="1" s="31">
      <c r="A192" s="4" t="n"/>
      <c r="B192" s="4" t="n"/>
      <c r="C192" s="4" t="n"/>
      <c r="D192" s="19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19">
        <f>ROUND((L192*M192*N192)/1000000,3)</f>
        <v/>
      </c>
      <c r="R192" s="4" t="n"/>
      <c r="S192" s="4" t="n"/>
      <c r="T192" s="4" t="n"/>
      <c r="U192" s="4" t="n"/>
      <c r="V192" s="4" t="n"/>
      <c r="W192" s="19" t="n"/>
      <c r="X192" s="4">
        <f>AR192*(W192+35+10)</f>
        <v/>
      </c>
      <c r="Y192" s="4">
        <f>AR192*(W192+35+10+45)</f>
        <v/>
      </c>
      <c r="Z192" s="4">
        <f>AA192+AB192+AC192</f>
        <v/>
      </c>
      <c r="AA192" s="4" t="n"/>
      <c r="AB192" s="4" t="n"/>
      <c r="AC192" s="4" t="n"/>
      <c r="AD192" s="4">
        <f>AA192+AB192</f>
        <v/>
      </c>
      <c r="AE192" s="13">
        <f>IF(AD192&lt;=AT192,"库存不足",IF(AD192&gt;=AT192*1.5,"库存预警","库存正常"))</f>
        <v/>
      </c>
      <c r="AF192" s="4">
        <f>MAX(AT192-AA192-AB192,0)</f>
        <v/>
      </c>
      <c r="AG192" s="4">
        <f>MAX(X192-AD192,0)</f>
        <v/>
      </c>
      <c r="AH192" s="4">
        <f>AF192-AG192</f>
        <v/>
      </c>
      <c r="AI192" s="14">
        <f>AX192+(AA192+AB192)/AR192-60</f>
        <v/>
      </c>
      <c r="AJ192" s="4" t="n"/>
      <c r="AK192" s="4" t="n"/>
      <c r="AL192" s="4" t="n"/>
      <c r="AM192" s="4" t="n"/>
      <c r="AN192" s="15" t="n"/>
      <c r="AO192" s="4">
        <f>ROUND(AK192/7,0)</f>
        <v/>
      </c>
      <c r="AP192" s="4">
        <f>ROUND(AL192/15,0)</f>
        <v/>
      </c>
      <c r="AQ192" s="4">
        <f>ROUND(AM192/30,0)</f>
        <v/>
      </c>
      <c r="AR192" s="4" t="n"/>
      <c r="AS192" s="4" t="n"/>
      <c r="AT192" s="4">
        <f>AR192*(W192+7+30)</f>
        <v/>
      </c>
      <c r="AU192" s="4" t="n"/>
      <c r="AV192" s="4">
        <f>MAX(0,AT192-AD192-AC192)</f>
        <v/>
      </c>
      <c r="AW192" s="4" t="n"/>
      <c r="AX192" s="14">
        <f>TODAY()</f>
        <v/>
      </c>
      <c r="AY192" s="4" t="n"/>
      <c r="AZ192" s="4" t="n"/>
      <c r="BA192" s="16" t="n"/>
      <c r="BB192" s="16" t="n"/>
      <c r="BC192" s="16" t="n"/>
    </row>
    <row r="193" ht="14.25" customHeight="1" s="31">
      <c r="A193" s="4" t="n"/>
      <c r="B193" s="4" t="n"/>
      <c r="C193" s="4" t="n"/>
      <c r="D193" s="19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19">
        <f>ROUND((L193*M193*N193)/1000000,3)</f>
        <v/>
      </c>
      <c r="R193" s="4" t="n"/>
      <c r="S193" s="4" t="n"/>
      <c r="T193" s="4" t="n"/>
      <c r="U193" s="4" t="n"/>
      <c r="V193" s="4" t="n"/>
      <c r="W193" s="19" t="n"/>
      <c r="X193" s="4">
        <f>AR193*(W193+35+10)</f>
        <v/>
      </c>
      <c r="Y193" s="4">
        <f>AR193*(W193+35+10+45)</f>
        <v/>
      </c>
      <c r="Z193" s="4">
        <f>AA193+AB193+AC193</f>
        <v/>
      </c>
      <c r="AA193" s="4" t="n"/>
      <c r="AB193" s="4" t="n"/>
      <c r="AC193" s="4" t="n"/>
      <c r="AD193" s="4">
        <f>AA193+AB193</f>
        <v/>
      </c>
      <c r="AE193" s="13">
        <f>IF(AD193&lt;=AT193,"库存不足",IF(AD193&gt;=AT193*1.5,"库存预警","库存正常"))</f>
        <v/>
      </c>
      <c r="AF193" s="4">
        <f>MAX(AT193-AA193-AB193,0)</f>
        <v/>
      </c>
      <c r="AG193" s="4">
        <f>MAX(X193-AD193,0)</f>
        <v/>
      </c>
      <c r="AH193" s="4">
        <f>AF193-AG193</f>
        <v/>
      </c>
      <c r="AI193" s="14">
        <f>AX193+(AA193+AB193)/AR193-60</f>
        <v/>
      </c>
      <c r="AJ193" s="4" t="n"/>
      <c r="AK193" s="15" t="n"/>
      <c r="AL193" s="15" t="n"/>
      <c r="AM193" s="15" t="n"/>
      <c r="AN193" s="15" t="n"/>
      <c r="AO193" s="4">
        <f>ROUND(AK193/7,0)</f>
        <v/>
      </c>
      <c r="AP193" s="4">
        <f>ROUND(AL193/15,0)</f>
        <v/>
      </c>
      <c r="AQ193" s="4">
        <f>ROUND(AM193/30,0)</f>
        <v/>
      </c>
      <c r="AR193" s="4" t="n"/>
      <c r="AS193" s="4" t="n"/>
      <c r="AT193" s="4">
        <f>AR193*(W193+7+30)</f>
        <v/>
      </c>
      <c r="AU193" s="4" t="n"/>
      <c r="AV193" s="4">
        <f>MAX(0,AT193-AD193-AC193)</f>
        <v/>
      </c>
      <c r="AW193" s="4" t="n"/>
      <c r="AX193" s="14">
        <f>TODAY()</f>
        <v/>
      </c>
      <c r="AY193" s="4" t="n"/>
      <c r="AZ193" s="4" t="n"/>
      <c r="BA193" s="16" t="n"/>
      <c r="BB193" s="16" t="n"/>
      <c r="BC193" s="16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>
        <f>L194*M194*N194/1000000</f>
        <v/>
      </c>
      <c r="R194" s="4" t="n"/>
      <c r="S194" s="4" t="n"/>
      <c r="T194" s="4" t="n"/>
      <c r="U194" s="4" t="n"/>
      <c r="V194" s="4" t="n"/>
      <c r="W194" s="4" t="n"/>
      <c r="X194" s="4">
        <f>AR194*(W194+35+10)</f>
        <v/>
      </c>
      <c r="Y194" s="4">
        <f>AR194*(W194+35+10+45)</f>
        <v/>
      </c>
      <c r="Z194" s="4">
        <f>AA194+AB194+AC194</f>
        <v/>
      </c>
      <c r="AA194" s="4" t="n"/>
      <c r="AB194" s="4" t="n"/>
      <c r="AC194" s="4" t="n"/>
      <c r="AD194" s="4">
        <f>AA194+AB194</f>
        <v/>
      </c>
      <c r="AE194" s="13">
        <f>IF(AD194&lt;=AT194,"库存不足",IF(AD194&gt;=AT194*1.5,"库存预警","库存正常"))</f>
        <v/>
      </c>
      <c r="AF194" s="4">
        <f>MAX(AT194-AA194-AB194,0)</f>
        <v/>
      </c>
      <c r="AG194" s="4">
        <f>MAX(X194-AD194,0)</f>
        <v/>
      </c>
      <c r="AH194" s="4">
        <f>AF194-AG194</f>
        <v/>
      </c>
      <c r="AI194" s="14">
        <f>AX194+(AA194+AB194)/AR194-60</f>
        <v/>
      </c>
      <c r="AJ194" s="4" t="n"/>
      <c r="AK194" s="15" t="n"/>
      <c r="AL194" s="15" t="n"/>
      <c r="AM194" s="15" t="n"/>
      <c r="AN194" s="15" t="n"/>
      <c r="AO194" s="4">
        <f>ROUND(AK194/7,0)</f>
        <v/>
      </c>
      <c r="AP194" s="4">
        <f>ROUND(AL194/15,0)</f>
        <v/>
      </c>
      <c r="AQ194" s="4">
        <f>ROUND(AM194/30,0)</f>
        <v/>
      </c>
      <c r="AR194" s="4" t="n"/>
      <c r="AS194" s="4" t="n"/>
      <c r="AT194" s="4">
        <f>AR194*(W194+7+30)</f>
        <v/>
      </c>
      <c r="AU194" s="4" t="n"/>
      <c r="AV194" s="4">
        <f>MAX(0,AT194-AD194-AC194)</f>
        <v/>
      </c>
      <c r="AW194" s="4" t="n"/>
      <c r="AX194" s="14">
        <f>TODAY()</f>
        <v/>
      </c>
      <c r="AY194" s="4" t="n"/>
      <c r="AZ194" s="4" t="n"/>
      <c r="BA194" s="16" t="n"/>
      <c r="BB194" s="16" t="n"/>
      <c r="BC194" s="16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>
        <f>L195*M195*N195/1000000</f>
        <v/>
      </c>
      <c r="R195" s="4" t="n"/>
      <c r="S195" s="4" t="n"/>
      <c r="T195" s="4" t="n"/>
      <c r="U195" s="4" t="n"/>
      <c r="V195" s="4" t="n"/>
      <c r="W195" s="4" t="n"/>
      <c r="X195" s="4">
        <f>AR195*(W195+35+10)</f>
        <v/>
      </c>
      <c r="Y195" s="4">
        <f>AR195*(W195+35+10+45)</f>
        <v/>
      </c>
      <c r="Z195" s="4">
        <f>AA195+AB195+AC195</f>
        <v/>
      </c>
      <c r="AA195" s="4" t="n"/>
      <c r="AB195" s="4" t="n"/>
      <c r="AC195" s="4" t="n"/>
      <c r="AD195" s="4">
        <f>AA195+AB195</f>
        <v/>
      </c>
      <c r="AE195" s="13">
        <f>IF(AD195&lt;=AT195,"库存不足",IF(AD195&gt;=AT195*1.5,"库存预警","库存正常"))</f>
        <v/>
      </c>
      <c r="AF195" s="4">
        <f>MAX(AT195-AA195-AB195,0)</f>
        <v/>
      </c>
      <c r="AG195" s="4">
        <f>MAX(X195-AD195,0)</f>
        <v/>
      </c>
      <c r="AH195" s="4">
        <f>AF195-AG195</f>
        <v/>
      </c>
      <c r="AI195" s="14">
        <f>AX195+(AA195+AB195)/AR195-60</f>
        <v/>
      </c>
      <c r="AJ195" s="4" t="n"/>
      <c r="AK195" s="4" t="n"/>
      <c r="AL195" s="4" t="n"/>
      <c r="AM195" s="4" t="n"/>
      <c r="AN195" s="15" t="n"/>
      <c r="AO195" s="4">
        <f>ROUND(AK195/7,0)</f>
        <v/>
      </c>
      <c r="AP195" s="4">
        <f>ROUND(AL195/15,0)</f>
        <v/>
      </c>
      <c r="AQ195" s="4">
        <f>ROUND(AM195/30,0)</f>
        <v/>
      </c>
      <c r="AR195" s="4" t="n"/>
      <c r="AS195" s="4" t="n"/>
      <c r="AT195" s="4">
        <f>AR195*(W195+7+30)</f>
        <v/>
      </c>
      <c r="AU195" s="4" t="n"/>
      <c r="AV195" s="4">
        <f>MAX(0,AT195-AD195-AC195)</f>
        <v/>
      </c>
      <c r="AW195" s="4" t="n"/>
      <c r="AX195" s="14">
        <f>TODAY()</f>
        <v/>
      </c>
      <c r="AY195" s="4" t="n"/>
      <c r="AZ195" s="4" t="n"/>
      <c r="BA195" s="16" t="n"/>
      <c r="BB195" s="16" t="n"/>
      <c r="BC195" s="16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>
        <f>L196*M196*N196/1000000</f>
        <v/>
      </c>
      <c r="R196" s="4" t="n"/>
      <c r="S196" s="4" t="n"/>
      <c r="T196" s="4" t="n"/>
      <c r="U196" s="4" t="n"/>
      <c r="V196" s="4" t="n"/>
      <c r="W196" s="4" t="n"/>
      <c r="X196" s="4">
        <f>AR196*(W196+35+10)</f>
        <v/>
      </c>
      <c r="Y196" s="4">
        <f>AR196*(W196+35+10+45)</f>
        <v/>
      </c>
      <c r="Z196" s="4">
        <f>AA196+AB196+AC196</f>
        <v/>
      </c>
      <c r="AA196" s="4" t="n"/>
      <c r="AB196" s="4" t="n"/>
      <c r="AC196" s="4" t="n"/>
      <c r="AD196" s="4">
        <f>AA196+AB196</f>
        <v/>
      </c>
      <c r="AE196" s="13">
        <f>IF(AD196&lt;=AT196,"库存不足",IF(AD196&gt;=AT196*1.5,"库存预警","库存正常"))</f>
        <v/>
      </c>
      <c r="AF196" s="4">
        <f>MAX(AT196-AA196-AB196,0)</f>
        <v/>
      </c>
      <c r="AG196" s="4">
        <f>MAX(X196-AD196,0)</f>
        <v/>
      </c>
      <c r="AH196" s="4">
        <f>AF196-AG196</f>
        <v/>
      </c>
      <c r="AI196" s="14">
        <f>AX196+(AA196+AB196)/AR196-60</f>
        <v/>
      </c>
      <c r="AJ196" s="4" t="n"/>
      <c r="AK196" s="15" t="n"/>
      <c r="AL196" s="15" t="n"/>
      <c r="AM196" s="15" t="n"/>
      <c r="AN196" s="15" t="n"/>
      <c r="AO196" s="4">
        <f>ROUND(AK196/7,0)</f>
        <v/>
      </c>
      <c r="AP196" s="4">
        <f>ROUND(AL196/15,0)</f>
        <v/>
      </c>
      <c r="AQ196" s="4">
        <f>ROUND(AM196/30,0)</f>
        <v/>
      </c>
      <c r="AR196" s="4" t="n"/>
      <c r="AS196" s="4" t="n"/>
      <c r="AT196" s="4">
        <f>AR196*(W196+7+30)</f>
        <v/>
      </c>
      <c r="AU196" s="4" t="n"/>
      <c r="AV196" s="4">
        <f>MAX(0,AT196-AD196-AC196)</f>
        <v/>
      </c>
      <c r="AW196" s="4" t="n"/>
      <c r="AX196" s="14">
        <f>TODAY()</f>
        <v/>
      </c>
      <c r="AY196" s="4" t="n"/>
      <c r="AZ196" s="4" t="n"/>
      <c r="BA196" s="16" t="n"/>
      <c r="BB196" s="16" t="n"/>
      <c r="BC196" s="16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>
        <f>L197*M197*N197/1000000</f>
        <v/>
      </c>
      <c r="R197" s="4" t="n"/>
      <c r="S197" s="4" t="n"/>
      <c r="T197" s="4" t="n"/>
      <c r="U197" s="4" t="n"/>
      <c r="V197" s="4" t="n"/>
      <c r="W197" s="4" t="n"/>
      <c r="X197" s="4">
        <f>AR197*(W197+30)</f>
        <v/>
      </c>
      <c r="Y197" s="4" t="n"/>
      <c r="Z197" s="4">
        <f>AA197+AB197+AC197</f>
        <v/>
      </c>
      <c r="AA197" s="4" t="n"/>
      <c r="AB197" s="4" t="n"/>
      <c r="AC197" s="4" t="n"/>
      <c r="AD197" s="4">
        <f>AA197+AB197</f>
        <v/>
      </c>
      <c r="AE197" s="13">
        <f>IF(AD197&lt;=AT197,"库存不足",IF(AD197&gt;=AT197*1.5,"库存预警","库存正常"))</f>
        <v/>
      </c>
      <c r="AF197" s="4">
        <f>MAX(AT197-AA197-AB197,0)</f>
        <v/>
      </c>
      <c r="AG197" s="4">
        <f>MAX(X197-AD197,0)</f>
        <v/>
      </c>
      <c r="AH197" s="4">
        <f>AF197-AG197</f>
        <v/>
      </c>
      <c r="AI197" s="14">
        <f>AX197+(AA197+AB197)/AR197-60</f>
        <v/>
      </c>
      <c r="AJ197" s="4" t="n"/>
      <c r="AK197" s="4" t="n"/>
      <c r="AL197" s="4" t="n"/>
      <c r="AM197" s="4" t="n"/>
      <c r="AN197" s="15" t="n"/>
      <c r="AO197" s="4">
        <f>ROUND(AK197/7,0)</f>
        <v/>
      </c>
      <c r="AP197" s="4">
        <f>ROUND(AL197/15,0)</f>
        <v/>
      </c>
      <c r="AQ197" s="4">
        <f>ROUND(AM197/30,0)</f>
        <v/>
      </c>
      <c r="AR197" s="4" t="n"/>
      <c r="AS197" s="4" t="n"/>
      <c r="AT197" s="4">
        <f>AR197*(W197+7+30)</f>
        <v/>
      </c>
      <c r="AU197" s="4" t="n"/>
      <c r="AV197" s="4">
        <f>MAX(0,AT197-AD197-AC197)</f>
        <v/>
      </c>
      <c r="AW197" s="4" t="n"/>
      <c r="AX197" s="14">
        <f>TODAY()</f>
        <v/>
      </c>
      <c r="AY197" s="4" t="n"/>
      <c r="AZ197" s="4" t="n"/>
      <c r="BA197" s="16" t="n"/>
      <c r="BB197" s="16" t="n"/>
      <c r="BC197" s="16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>
        <f>L198*M198*N198/1000000</f>
        <v/>
      </c>
      <c r="R198" s="4" t="n"/>
      <c r="S198" s="4" t="n"/>
      <c r="T198" s="4" t="n"/>
      <c r="U198" s="4" t="n"/>
      <c r="V198" s="4" t="n"/>
      <c r="W198" s="4" t="n"/>
      <c r="X198" s="4">
        <f>AR198*(W198+30)</f>
        <v/>
      </c>
      <c r="Y198" s="4" t="n"/>
      <c r="Z198" s="4">
        <f>AA198+AB198+AC198</f>
        <v/>
      </c>
      <c r="AA198" s="4" t="n"/>
      <c r="AB198" s="4" t="n"/>
      <c r="AC198" s="4" t="n"/>
      <c r="AD198" s="4">
        <f>AA198+AB198</f>
        <v/>
      </c>
      <c r="AE198" s="13">
        <f>IF(AD198&lt;=AT198,"库存不足",IF(AD198&gt;=AT198*1.5,"库存预警","库存正常"))</f>
        <v/>
      </c>
      <c r="AF198" s="4">
        <f>MAX(AT198-AA198-AB198,0)</f>
        <v/>
      </c>
      <c r="AG198" s="4">
        <f>MAX(X198-AD198,0)</f>
        <v/>
      </c>
      <c r="AH198" s="4">
        <f>AF198-AG198</f>
        <v/>
      </c>
      <c r="AI198" s="14">
        <f>AX198+(AA198+AB198)/AR198-60</f>
        <v/>
      </c>
      <c r="AJ198" s="4" t="n"/>
      <c r="AK198" s="4" t="n"/>
      <c r="AL198" s="4" t="n"/>
      <c r="AM198" s="4" t="n"/>
      <c r="AN198" s="15" t="n"/>
      <c r="AO198" s="4">
        <f>ROUND(AK198/7,0)</f>
        <v/>
      </c>
      <c r="AP198" s="4">
        <f>ROUND(AL198/15,0)</f>
        <v/>
      </c>
      <c r="AQ198" s="4">
        <f>ROUND(AM198/30,0)</f>
        <v/>
      </c>
      <c r="AR198" s="4" t="n"/>
      <c r="AS198" s="4" t="n"/>
      <c r="AT198" s="4">
        <f>AR198*(W198+7+30)</f>
        <v/>
      </c>
      <c r="AU198" s="4" t="n"/>
      <c r="AV198" s="4">
        <f>MAX(0,AT198-AD198-AC198)</f>
        <v/>
      </c>
      <c r="AW198" s="4" t="n"/>
      <c r="AX198" s="14">
        <f>TODAY()</f>
        <v/>
      </c>
      <c r="AY198" s="4" t="n"/>
      <c r="AZ198" s="4" t="n"/>
      <c r="BA198" s="16" t="n"/>
      <c r="BB198" s="16" t="n"/>
      <c r="BC198" s="16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>
        <f>L199*M199*N199/1000000</f>
        <v/>
      </c>
      <c r="R199" s="4" t="n"/>
      <c r="S199" s="4" t="n"/>
      <c r="T199" s="4" t="n"/>
      <c r="U199" s="4" t="n"/>
      <c r="V199" s="4" t="n"/>
      <c r="W199" s="4" t="n"/>
      <c r="X199" s="4">
        <f>AR199*(W199+30)</f>
        <v/>
      </c>
      <c r="Y199" s="4" t="n"/>
      <c r="Z199" s="4">
        <f>AA199+AB199+AC199</f>
        <v/>
      </c>
      <c r="AA199" s="4" t="n"/>
      <c r="AB199" s="4" t="n"/>
      <c r="AC199" s="4" t="n"/>
      <c r="AD199" s="4">
        <f>AA199+AB199</f>
        <v/>
      </c>
      <c r="AE199" s="13">
        <f>IF(AD199&lt;=AT199,"库存不足",IF(AD199&gt;=AT199*1.5,"库存预警","库存正常"))</f>
        <v/>
      </c>
      <c r="AF199" s="4">
        <f>MAX(AT199-AA199-AB199,0)</f>
        <v/>
      </c>
      <c r="AG199" s="4">
        <f>MAX(X199-AD199,0)</f>
        <v/>
      </c>
      <c r="AH199" s="4">
        <f>AF199-AG199</f>
        <v/>
      </c>
      <c r="AI199" s="14">
        <f>AX199+(AA199+AB199)/AR199-60</f>
        <v/>
      </c>
      <c r="AJ199" s="4" t="n"/>
      <c r="AK199" s="4" t="n"/>
      <c r="AL199" s="4" t="n"/>
      <c r="AM199" s="4" t="n"/>
      <c r="AN199" s="15" t="n"/>
      <c r="AO199" s="4">
        <f>ROUND(AK199/7,0)</f>
        <v/>
      </c>
      <c r="AP199" s="4">
        <f>ROUND(AL199/15,0)</f>
        <v/>
      </c>
      <c r="AQ199" s="4">
        <f>ROUND(AM199/30,0)</f>
        <v/>
      </c>
      <c r="AR199" s="4" t="n"/>
      <c r="AS199" s="4" t="n"/>
      <c r="AT199" s="4">
        <f>AR199*(W199+7+30)</f>
        <v/>
      </c>
      <c r="AU199" s="4" t="n"/>
      <c r="AV199" s="4">
        <f>MAX(0,AT199-AD199-AC199)</f>
        <v/>
      </c>
      <c r="AW199" s="4" t="n"/>
      <c r="AX199" s="14">
        <f>TODAY()</f>
        <v/>
      </c>
      <c r="AY199" s="4" t="n"/>
      <c r="AZ199" s="4" t="n"/>
      <c r="BA199" s="16" t="n"/>
      <c r="BB199" s="16" t="n"/>
      <c r="BC199" s="16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>
        <f>L200*M200*N200/1000000</f>
        <v/>
      </c>
      <c r="R200" s="4" t="n"/>
      <c r="S200" s="4" t="n"/>
      <c r="T200" s="4" t="n"/>
      <c r="U200" s="4" t="n"/>
      <c r="V200" s="4" t="n"/>
      <c r="W200" s="4" t="n"/>
      <c r="X200" s="4">
        <f>AR200*(W200+35+10)</f>
        <v/>
      </c>
      <c r="Y200" s="4">
        <f>AR200*(W200+35+10+45)</f>
        <v/>
      </c>
      <c r="Z200" s="4">
        <f>AA200+AB200+AC200</f>
        <v/>
      </c>
      <c r="AA200" s="4" t="n"/>
      <c r="AB200" s="4" t="n"/>
      <c r="AC200" s="4" t="n"/>
      <c r="AD200" s="4">
        <f>AA200+AB200</f>
        <v/>
      </c>
      <c r="AE200" s="13">
        <f>IF(AD200&lt;=AT200,"库存不足",IF(AD200&gt;=AT200*1.5,"库存预警","库存正常"))</f>
        <v/>
      </c>
      <c r="AF200" s="4">
        <f>MAX(AT200-AA200-AB200,0)</f>
        <v/>
      </c>
      <c r="AG200" s="4">
        <f>MAX(X200-AD200,0)</f>
        <v/>
      </c>
      <c r="AH200" s="4">
        <f>AF200-AG200</f>
        <v/>
      </c>
      <c r="AI200" s="14">
        <f>AX200+(AA200+AB200)/AR200-60</f>
        <v/>
      </c>
      <c r="AJ200" s="4" t="n"/>
      <c r="AK200" s="15" t="n"/>
      <c r="AL200" s="15" t="n"/>
      <c r="AM200" s="15" t="n"/>
      <c r="AN200" s="15" t="n"/>
      <c r="AO200" s="4">
        <f>ROUND(AK200/7,0)</f>
        <v/>
      </c>
      <c r="AP200" s="4">
        <f>ROUND(AL200/15,0)</f>
        <v/>
      </c>
      <c r="AQ200" s="4">
        <f>ROUND(AM200/30,0)</f>
        <v/>
      </c>
      <c r="AR200" s="4" t="n"/>
      <c r="AS200" s="4" t="n"/>
      <c r="AT200" s="4">
        <f>AR200*(W200+7+30)</f>
        <v/>
      </c>
      <c r="AU200" s="4" t="n"/>
      <c r="AV200" s="4">
        <f>MAX(0,AT200-AD200-AC200)</f>
        <v/>
      </c>
      <c r="AW200" s="4" t="n"/>
      <c r="AX200" s="14">
        <f>TODAY()</f>
        <v/>
      </c>
      <c r="AY200" s="4" t="n"/>
      <c r="AZ200" s="4" t="n"/>
      <c r="BA200" s="16" t="n"/>
      <c r="BB200" s="16" t="n"/>
      <c r="BC200" s="16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>
        <f>L201*M201*N201/1000000</f>
        <v/>
      </c>
      <c r="R201" s="4" t="n"/>
      <c r="S201" s="4" t="n"/>
      <c r="T201" s="4" t="n"/>
      <c r="U201" s="4" t="n"/>
      <c r="V201" s="4" t="n"/>
      <c r="W201" s="4" t="n"/>
      <c r="X201" s="4">
        <f>AR201*(W201+35+10)</f>
        <v/>
      </c>
      <c r="Y201" s="4">
        <f>AR201*(W201+35+10+45)</f>
        <v/>
      </c>
      <c r="Z201" s="4">
        <f>AA201+AB201+AC201</f>
        <v/>
      </c>
      <c r="AA201" s="4" t="n"/>
      <c r="AB201" s="4" t="n"/>
      <c r="AC201" s="4" t="n"/>
      <c r="AD201" s="4">
        <f>AA201+AB201</f>
        <v/>
      </c>
      <c r="AE201" s="13">
        <f>IF(AD201&lt;=AT201,"库存不足",IF(AD201&gt;=AT201*1.5,"库存预警","库存正常"))</f>
        <v/>
      </c>
      <c r="AF201" s="4">
        <f>MAX(AT201-AA201-AB201,0)</f>
        <v/>
      </c>
      <c r="AG201" s="4">
        <f>MAX(X201-AD201,0)</f>
        <v/>
      </c>
      <c r="AH201" s="4">
        <f>AF201-AG201</f>
        <v/>
      </c>
      <c r="AI201" s="14">
        <f>AX201+(AA201+AB201)/AR201-60</f>
        <v/>
      </c>
      <c r="AJ201" s="4" t="n"/>
      <c r="AK201" s="4" t="n"/>
      <c r="AL201" s="4" t="n"/>
      <c r="AM201" s="4" t="n"/>
      <c r="AN201" s="15" t="n"/>
      <c r="AO201" s="4">
        <f>ROUND(AK201/7,0)</f>
        <v/>
      </c>
      <c r="AP201" s="4">
        <f>ROUND(AL201/15,0)</f>
        <v/>
      </c>
      <c r="AQ201" s="4">
        <f>ROUND(AM201/30,0)</f>
        <v/>
      </c>
      <c r="AR201" s="4" t="n"/>
      <c r="AS201" s="4" t="n"/>
      <c r="AT201" s="4">
        <f>AR201*(W201+7+30)</f>
        <v/>
      </c>
      <c r="AU201" s="4" t="n"/>
      <c r="AV201" s="4">
        <f>MAX(0,AT201-AD201-AC201)</f>
        <v/>
      </c>
      <c r="AW201" s="4" t="n"/>
      <c r="AX201" s="14">
        <f>TODAY()</f>
        <v/>
      </c>
      <c r="AY201" s="4" t="n"/>
      <c r="AZ201" s="4" t="n"/>
      <c r="BA201" s="16" t="n"/>
      <c r="BB201" s="16" t="n"/>
      <c r="BC201" s="16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>
        <f>L202*M202*N202/1000000</f>
        <v/>
      </c>
      <c r="R202" s="4" t="n"/>
      <c r="S202" s="4" t="n"/>
      <c r="T202" s="4" t="n"/>
      <c r="U202" s="4" t="n"/>
      <c r="V202" s="4" t="n"/>
      <c r="W202" s="4" t="n"/>
      <c r="X202" s="4">
        <f>AR202*(W202+35+10)</f>
        <v/>
      </c>
      <c r="Y202" s="4">
        <f>AR202*(W202+35+10+45)</f>
        <v/>
      </c>
      <c r="Z202" s="4">
        <f>AA202+AB202+AC202</f>
        <v/>
      </c>
      <c r="AA202" s="4" t="n"/>
      <c r="AB202" s="4" t="n"/>
      <c r="AC202" s="4" t="n"/>
      <c r="AD202" s="4">
        <f>AA202+AB202</f>
        <v/>
      </c>
      <c r="AE202" s="13">
        <f>IF(AD202&lt;=AT202,"库存不足",IF(AD202&gt;=AT202*1.5,"库存预警","库存正常"))</f>
        <v/>
      </c>
      <c r="AF202" s="4">
        <f>MAX(AT202-AA202-AB202,0)</f>
        <v/>
      </c>
      <c r="AG202" s="4">
        <f>MAX(X202-AD202,0)</f>
        <v/>
      </c>
      <c r="AH202" s="4">
        <f>AF202-AG202</f>
        <v/>
      </c>
      <c r="AI202" s="14">
        <f>AX202+(AA202+AB202)/AR202-60</f>
        <v/>
      </c>
      <c r="AJ202" s="4" t="n"/>
      <c r="AK202" s="15" t="n"/>
      <c r="AL202" s="15" t="n"/>
      <c r="AM202" s="15" t="n"/>
      <c r="AN202" s="15" t="n"/>
      <c r="AO202" s="4">
        <f>ROUND(AK202/7,0)</f>
        <v/>
      </c>
      <c r="AP202" s="4">
        <f>ROUND(AL202/15,0)</f>
        <v/>
      </c>
      <c r="AQ202" s="4">
        <f>ROUND(AM202/30,0)</f>
        <v/>
      </c>
      <c r="AR202" s="4" t="n"/>
      <c r="AS202" s="4" t="n"/>
      <c r="AT202" s="4">
        <f>AR202*(W202+7+30)</f>
        <v/>
      </c>
      <c r="AU202" s="4" t="n"/>
      <c r="AV202" s="4">
        <f>MAX(0,AT202-AD202-AC202)</f>
        <v/>
      </c>
      <c r="AW202" s="4" t="n"/>
      <c r="AX202" s="14">
        <f>TODAY()</f>
        <v/>
      </c>
      <c r="AY202" s="4" t="n"/>
      <c r="AZ202" s="4" t="n"/>
      <c r="BA202" s="16" t="n"/>
      <c r="BB202" s="16" t="n"/>
      <c r="BC202" s="16" t="n"/>
    </row>
    <row r="203" ht="14.25" customHeight="1" s="31">
      <c r="A203" s="4" t="n"/>
      <c r="B203" s="4" t="n"/>
      <c r="C203" s="19" t="n"/>
      <c r="D203" s="4" t="n"/>
      <c r="E203" s="19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>
        <f>L203*M203*N203/1000000</f>
        <v/>
      </c>
      <c r="R203" s="4" t="n"/>
      <c r="S203" s="4" t="n"/>
      <c r="T203" s="4" t="n"/>
      <c r="U203" s="4" t="n"/>
      <c r="V203" s="4" t="n"/>
      <c r="W203" s="4" t="n"/>
      <c r="X203" s="4">
        <f>AR203*(W203+35+10)</f>
        <v/>
      </c>
      <c r="Y203" s="4">
        <f>AR203*(W203+35+10+45)</f>
        <v/>
      </c>
      <c r="Z203" s="4">
        <f>AA203+AB203+AC203</f>
        <v/>
      </c>
      <c r="AA203" s="4" t="n"/>
      <c r="AB203" s="4" t="n"/>
      <c r="AC203" s="4" t="n"/>
      <c r="AD203" s="4">
        <f>AA203+AB203</f>
        <v/>
      </c>
      <c r="AE203" s="13">
        <f>IF(AD203&lt;=AT203,"库存不足",IF(AD203&gt;=AT203*1.5,"库存预警","库存正常"))</f>
        <v/>
      </c>
      <c r="AF203" s="4">
        <f>MAX(AT203-AA203-AB203,0)</f>
        <v/>
      </c>
      <c r="AG203" s="4">
        <f>MAX(X203-AD203,0)</f>
        <v/>
      </c>
      <c r="AH203" s="4">
        <f>AF203-AG203</f>
        <v/>
      </c>
      <c r="AI203" s="14">
        <f>AX203+(AA203+AB203)/AR203-60</f>
        <v/>
      </c>
      <c r="AJ203" s="4" t="n"/>
      <c r="AK203" s="15" t="n"/>
      <c r="AL203" s="15" t="n"/>
      <c r="AM203" s="15" t="n"/>
      <c r="AN203" s="15" t="n"/>
      <c r="AO203" s="4">
        <f>ROUND(AK203/7,0)</f>
        <v/>
      </c>
      <c r="AP203" s="4">
        <f>ROUND(AL203/15,0)</f>
        <v/>
      </c>
      <c r="AQ203" s="4">
        <f>ROUND(AM203/30,0)</f>
        <v/>
      </c>
      <c r="AR203" s="4" t="n"/>
      <c r="AS203" s="4" t="n"/>
      <c r="AT203" s="4">
        <f>AR203*(W203+7+30)</f>
        <v/>
      </c>
      <c r="AU203" s="4" t="n"/>
      <c r="AV203" s="4">
        <f>MAX(0,AT203-AD203-AC203)</f>
        <v/>
      </c>
      <c r="AW203" s="4" t="n"/>
      <c r="AX203" s="14">
        <f>TODAY()</f>
        <v/>
      </c>
      <c r="AY203" s="4" t="n"/>
      <c r="AZ203" s="4" t="n"/>
      <c r="BA203" s="16" t="n"/>
      <c r="BB203" s="16" t="n"/>
      <c r="BC203" s="16" t="n"/>
    </row>
    <row r="204" ht="14.25" customHeight="1" s="31">
      <c r="A204" s="4" t="n"/>
      <c r="B204" s="4" t="n"/>
      <c r="C204" s="19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>
        <f>L204*M204*N204/1000000</f>
        <v/>
      </c>
      <c r="R204" s="4" t="n"/>
      <c r="S204" s="4" t="n"/>
      <c r="T204" s="4" t="n"/>
      <c r="U204" s="4" t="n"/>
      <c r="V204" s="4" t="n"/>
      <c r="W204" s="4" t="n"/>
      <c r="X204" s="4">
        <f>AR204*(W204+30)</f>
        <v/>
      </c>
      <c r="Y204" s="4" t="n"/>
      <c r="Z204" s="4">
        <f>AA204+AB204+AC204</f>
        <v/>
      </c>
      <c r="AA204" s="4" t="n"/>
      <c r="AB204" s="4" t="n"/>
      <c r="AC204" s="4" t="n"/>
      <c r="AD204" s="4">
        <f>AA204+AB204</f>
        <v/>
      </c>
      <c r="AE204" s="13">
        <f>IF(AD204&lt;=AT204,"库存不足",IF(AD204&gt;=AT204*1.5,"库存预警","库存正常"))</f>
        <v/>
      </c>
      <c r="AF204" s="4">
        <f>MAX(AT204-AA204-AB204,0)</f>
        <v/>
      </c>
      <c r="AG204" s="4">
        <f>MAX(X204-AD204,0)</f>
        <v/>
      </c>
      <c r="AH204" s="4">
        <f>AF204-AG204</f>
        <v/>
      </c>
      <c r="AI204" s="14">
        <f>AX204+(AA204+AB204)/AR204-60</f>
        <v/>
      </c>
      <c r="AJ204" s="4" t="n"/>
      <c r="AK204" s="4" t="n"/>
      <c r="AL204" s="4" t="n"/>
      <c r="AM204" s="4" t="n"/>
      <c r="AN204" s="15" t="n"/>
      <c r="AO204" s="4">
        <f>ROUND(AK204/7,0)</f>
        <v/>
      </c>
      <c r="AP204" s="4">
        <f>ROUND(AL204/15,0)</f>
        <v/>
      </c>
      <c r="AQ204" s="4">
        <f>ROUND(AM204/30,0)</f>
        <v/>
      </c>
      <c r="AR204" s="4" t="n"/>
      <c r="AS204" s="4" t="n"/>
      <c r="AT204" s="4">
        <f>AR204*(W204+7+30)</f>
        <v/>
      </c>
      <c r="AU204" s="35" t="n"/>
      <c r="AV204" s="4">
        <f>MAX(0,AT204-AD204-AC204)</f>
        <v/>
      </c>
      <c r="AW204" s="4" t="n"/>
      <c r="AX204" s="14">
        <f>TODAY()</f>
        <v/>
      </c>
      <c r="AY204" s="4" t="n"/>
      <c r="AZ204" s="4" t="n"/>
      <c r="BA204" s="16" t="n"/>
      <c r="BB204" s="16" t="n"/>
      <c r="BC204" s="16" t="n"/>
    </row>
    <row r="205" ht="14.25" customHeight="1" s="31">
      <c r="A205" s="4" t="n"/>
      <c r="B205" s="4" t="n"/>
      <c r="C205" s="19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>
        <f>L205*M205*N205/1000000</f>
        <v/>
      </c>
      <c r="R205" s="4" t="n"/>
      <c r="S205" s="4" t="n"/>
      <c r="T205" s="4" t="n"/>
      <c r="U205" s="4" t="n"/>
      <c r="V205" s="4" t="n"/>
      <c r="W205" s="4" t="n"/>
      <c r="X205" s="4">
        <f>AR205*(W205+30)</f>
        <v/>
      </c>
      <c r="Y205" s="4" t="n"/>
      <c r="Z205" s="4">
        <f>AA205+AB205+AC205</f>
        <v/>
      </c>
      <c r="AA205" s="4" t="n"/>
      <c r="AB205" s="4" t="n"/>
      <c r="AC205" s="4" t="n"/>
      <c r="AD205" s="4">
        <f>AA205+AB205</f>
        <v/>
      </c>
      <c r="AE205" s="13">
        <f>IF(AD205&lt;=AT205,"库存不足",IF(AD205&gt;=AT205*1.5,"库存预警","库存正常"))</f>
        <v/>
      </c>
      <c r="AF205" s="4">
        <f>MAX(AT205-AA205-AB205,0)</f>
        <v/>
      </c>
      <c r="AG205" s="4">
        <f>MAX(X205-AD205,0)</f>
        <v/>
      </c>
      <c r="AH205" s="4">
        <f>AF205-AG205</f>
        <v/>
      </c>
      <c r="AI205" s="14">
        <f>AX205+(AA205+AB205)/AR205-60</f>
        <v/>
      </c>
      <c r="AJ205" s="4" t="n"/>
      <c r="AK205" s="4" t="n"/>
      <c r="AL205" s="4" t="n"/>
      <c r="AM205" s="4" t="n"/>
      <c r="AN205" s="15" t="n"/>
      <c r="AO205" s="4">
        <f>ROUND(AK205/7,0)</f>
        <v/>
      </c>
      <c r="AP205" s="4">
        <f>ROUND(AL205/15,0)</f>
        <v/>
      </c>
      <c r="AQ205" s="4">
        <f>ROUND(AM205/30,0)</f>
        <v/>
      </c>
      <c r="AR205" s="4" t="n"/>
      <c r="AS205" s="4" t="n"/>
      <c r="AT205" s="4">
        <f>AR205*(W205+7+30)</f>
        <v/>
      </c>
      <c r="AU205" s="4" t="n"/>
      <c r="AV205" s="4">
        <f>MAX(0,AT205-AD205-AC205)</f>
        <v/>
      </c>
      <c r="AW205" s="4" t="n"/>
      <c r="AX205" s="14">
        <f>TODAY()</f>
        <v/>
      </c>
      <c r="AY205" s="4" t="n"/>
      <c r="AZ205" s="4" t="n"/>
      <c r="BA205" s="16" t="n"/>
      <c r="BB205" s="16" t="n"/>
      <c r="BC205" s="16" t="n"/>
    </row>
    <row r="206" ht="14.25" customHeight="1" s="31">
      <c r="A206" s="4" t="n"/>
      <c r="B206" s="4" t="n"/>
      <c r="C206" s="19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>
        <f>L206*M206*N206/1000000</f>
        <v/>
      </c>
      <c r="R206" s="4" t="n"/>
      <c r="S206" s="4" t="n"/>
      <c r="T206" s="4" t="n"/>
      <c r="U206" s="4" t="n"/>
      <c r="V206" s="4" t="n"/>
      <c r="W206" s="4" t="n"/>
      <c r="X206" s="4">
        <f>AR206*(W206+30)</f>
        <v/>
      </c>
      <c r="Y206" s="4" t="n"/>
      <c r="Z206" s="4">
        <f>AA206+AB206+AC206</f>
        <v/>
      </c>
      <c r="AA206" s="4" t="n"/>
      <c r="AB206" s="4" t="n"/>
      <c r="AC206" s="4" t="n"/>
      <c r="AD206" s="4">
        <f>AA206+AB206</f>
        <v/>
      </c>
      <c r="AE206" s="13">
        <f>IF(AD206&lt;=AT206,"库存不足",IF(AD206&gt;=AT206*1.5,"库存预警","库存正常"))</f>
        <v/>
      </c>
      <c r="AF206" s="4">
        <f>MAX(AT206-AA206-AB206,0)</f>
        <v/>
      </c>
      <c r="AG206" s="4">
        <f>MAX(X206-AD206,0)</f>
        <v/>
      </c>
      <c r="AH206" s="4">
        <f>AF206-AG206</f>
        <v/>
      </c>
      <c r="AI206" s="14">
        <f>AX206+(AA206+AB206)/AR206-60</f>
        <v/>
      </c>
      <c r="AJ206" s="4" t="n"/>
      <c r="AK206" s="4" t="n"/>
      <c r="AL206" s="4" t="n"/>
      <c r="AM206" s="4" t="n"/>
      <c r="AN206" s="15" t="n"/>
      <c r="AO206" s="4">
        <f>ROUND(AK206/7,0)</f>
        <v/>
      </c>
      <c r="AP206" s="4">
        <f>ROUND(AL206/15,0)</f>
        <v/>
      </c>
      <c r="AQ206" s="4">
        <f>ROUND(AM206/30,0)</f>
        <v/>
      </c>
      <c r="AR206" s="4" t="n"/>
      <c r="AS206" s="4" t="n"/>
      <c r="AT206" s="4">
        <f>AR206*(W206+7+30)</f>
        <v/>
      </c>
      <c r="AU206" s="4" t="n"/>
      <c r="AV206" s="4">
        <f>MAX(0,AT206-AD206-AC206)</f>
        <v/>
      </c>
      <c r="AW206" s="4" t="n"/>
      <c r="AX206" s="14">
        <f>TODAY()</f>
        <v/>
      </c>
      <c r="AY206" s="4" t="n"/>
      <c r="AZ206" s="4" t="n"/>
      <c r="BA206" s="16" t="n"/>
      <c r="BB206" s="16" t="n"/>
      <c r="BC206" s="16" t="n"/>
    </row>
    <row r="207" ht="14.25" customHeight="1" s="31">
      <c r="A207" s="4" t="n"/>
      <c r="B207" s="4" t="n"/>
      <c r="C207" s="19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>
        <f>L207*M207*N207/1000000</f>
        <v/>
      </c>
      <c r="R207" s="4" t="n"/>
      <c r="S207" s="4" t="n"/>
      <c r="T207" s="4" t="n"/>
      <c r="U207" s="4" t="n"/>
      <c r="V207" s="4" t="n"/>
      <c r="W207" s="4" t="n"/>
      <c r="X207" s="4">
        <f>AR207*(W207+30)</f>
        <v/>
      </c>
      <c r="Y207" s="4" t="n"/>
      <c r="Z207" s="4">
        <f>AA207+AB207+AC207</f>
        <v/>
      </c>
      <c r="AA207" s="4" t="n"/>
      <c r="AB207" s="4" t="n"/>
      <c r="AC207" s="4" t="n"/>
      <c r="AD207" s="4">
        <f>AA207+AB207</f>
        <v/>
      </c>
      <c r="AE207" s="13">
        <f>IF(AD207&lt;=AT207,"库存不足",IF(AD207&gt;=AT207*1.5,"库存预警","库存正常"))</f>
        <v/>
      </c>
      <c r="AF207" s="4">
        <f>MAX(AT207-AA207-AB207,0)</f>
        <v/>
      </c>
      <c r="AG207" s="4">
        <f>MAX(X207-AD207,0)</f>
        <v/>
      </c>
      <c r="AH207" s="4">
        <f>AF207-AG207</f>
        <v/>
      </c>
      <c r="AI207" s="14">
        <f>AX207+(AA207+AB207)/AR207-60</f>
        <v/>
      </c>
      <c r="AJ207" s="4" t="n"/>
      <c r="AK207" s="4" t="n"/>
      <c r="AL207" s="4" t="n"/>
      <c r="AM207" s="4" t="n"/>
      <c r="AN207" s="15" t="n"/>
      <c r="AO207" s="4">
        <f>ROUND(AK207/7,0)</f>
        <v/>
      </c>
      <c r="AP207" s="4">
        <f>ROUND(AL207/15,0)</f>
        <v/>
      </c>
      <c r="AQ207" s="4">
        <f>ROUND(AM207/30,0)</f>
        <v/>
      </c>
      <c r="AR207" s="4" t="n"/>
      <c r="AS207" s="4" t="n"/>
      <c r="AT207" s="4">
        <f>AR207*(W207+7+30)</f>
        <v/>
      </c>
      <c r="AU207" s="4" t="n"/>
      <c r="AV207" s="4">
        <f>MAX(0,AT207-AD207-AC207)</f>
        <v/>
      </c>
      <c r="AW207" s="4" t="n"/>
      <c r="AX207" s="14">
        <f>TODAY()</f>
        <v/>
      </c>
      <c r="AY207" s="4" t="n"/>
      <c r="AZ207" s="4" t="n"/>
      <c r="BA207" s="16" t="n"/>
      <c r="BB207" s="16" t="n"/>
      <c r="BC207" s="16" t="n"/>
    </row>
    <row r="208" ht="14.25" customHeight="1" s="31">
      <c r="A208" s="4" t="n"/>
      <c r="B208" s="4" t="n"/>
      <c r="C208" s="19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>
        <f>L208*M208*N208/1000000</f>
        <v/>
      </c>
      <c r="R208" s="4" t="n"/>
      <c r="S208" s="4" t="n"/>
      <c r="T208" s="4" t="n"/>
      <c r="U208" s="4" t="n"/>
      <c r="V208" s="4" t="n"/>
      <c r="W208" s="4" t="n"/>
      <c r="X208" s="4">
        <f>AR208*(W208+30)</f>
        <v/>
      </c>
      <c r="Y208" s="4" t="n"/>
      <c r="Z208" s="4">
        <f>AA208+AB208+AC208</f>
        <v/>
      </c>
      <c r="AA208" s="4" t="n"/>
      <c r="AB208" s="4" t="n"/>
      <c r="AC208" s="4" t="n"/>
      <c r="AD208" s="4">
        <f>AA208+AB208</f>
        <v/>
      </c>
      <c r="AE208" s="13">
        <f>IF(AD208&lt;=AT208,"库存不足",IF(AD208&gt;=AT208*1.5,"库存预警","库存正常"))</f>
        <v/>
      </c>
      <c r="AF208" s="4">
        <f>MAX(AT208-AA208-AB208,0)</f>
        <v/>
      </c>
      <c r="AG208" s="4">
        <f>MAX(X208-AD208,0)</f>
        <v/>
      </c>
      <c r="AH208" s="4">
        <f>AF208-AG208</f>
        <v/>
      </c>
      <c r="AI208" s="14">
        <f>AX208+(AA208+AB208)/AR208-60</f>
        <v/>
      </c>
      <c r="AJ208" s="4" t="n"/>
      <c r="AK208" s="4" t="n"/>
      <c r="AL208" s="4" t="n"/>
      <c r="AM208" s="4" t="n"/>
      <c r="AN208" s="15" t="n"/>
      <c r="AO208" s="4">
        <f>ROUND(AK208/7,0)</f>
        <v/>
      </c>
      <c r="AP208" s="4">
        <f>ROUND(AL208/15,0)</f>
        <v/>
      </c>
      <c r="AQ208" s="4">
        <f>ROUND(AM208/30,0)</f>
        <v/>
      </c>
      <c r="AR208" s="4" t="n"/>
      <c r="AS208" s="4" t="n"/>
      <c r="AT208" s="4">
        <f>AR208*(W208+7+30)</f>
        <v/>
      </c>
      <c r="AU208" s="4" t="n"/>
      <c r="AV208" s="4">
        <f>MAX(0,AT208-AD208-AC208)</f>
        <v/>
      </c>
      <c r="AW208" s="4" t="n"/>
      <c r="AX208" s="14">
        <f>TODAY()</f>
        <v/>
      </c>
      <c r="AY208" s="4" t="n"/>
      <c r="AZ208" s="4" t="n"/>
      <c r="BA208" s="16" t="n"/>
      <c r="BB208" s="16" t="n"/>
      <c r="BC208" s="16" t="n"/>
    </row>
    <row r="209" ht="14.25" customHeight="1" s="31">
      <c r="A209" s="4" t="n"/>
      <c r="B209" s="4" t="n"/>
      <c r="C209" s="19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>
        <f>L209*M209*N209/1000000</f>
        <v/>
      </c>
      <c r="R209" s="4" t="n"/>
      <c r="S209" s="4" t="n"/>
      <c r="T209" s="4" t="n"/>
      <c r="U209" s="4" t="n"/>
      <c r="V209" s="4" t="n"/>
      <c r="W209" s="4" t="n"/>
      <c r="X209" s="4">
        <f>AR209*(W209+35+10)</f>
        <v/>
      </c>
      <c r="Y209" s="4">
        <f>AR209*(W209+35+10+45)</f>
        <v/>
      </c>
      <c r="Z209" s="4">
        <f>AA209+AB209+AC209</f>
        <v/>
      </c>
      <c r="AA209" s="4" t="n"/>
      <c r="AB209" s="4" t="n"/>
      <c r="AC209" s="4" t="n"/>
      <c r="AD209" s="4">
        <f>AA209+AB209</f>
        <v/>
      </c>
      <c r="AE209" s="13">
        <f>IF(AD209&lt;=AT209,"库存不足",IF(AD209&gt;=AT209*1.5,"库存预警","库存正常"))</f>
        <v/>
      </c>
      <c r="AF209" s="4">
        <f>MAX(AT209-AA209-AB209,0)</f>
        <v/>
      </c>
      <c r="AG209" s="4">
        <f>MAX(X209-AD209,0)</f>
        <v/>
      </c>
      <c r="AH209" s="4">
        <f>AF209-AG209</f>
        <v/>
      </c>
      <c r="AI209" s="14">
        <f>AX209+(AA209+AB209)/AR209-60</f>
        <v/>
      </c>
      <c r="AJ209" s="4" t="n"/>
      <c r="AK209" s="15" t="n"/>
      <c r="AL209" s="15" t="n"/>
      <c r="AM209" s="15" t="n"/>
      <c r="AN209" s="15" t="n"/>
      <c r="AO209" s="4">
        <f>ROUND(AK209/7,0)</f>
        <v/>
      </c>
      <c r="AP209" s="4">
        <f>ROUND(AL209/15,0)</f>
        <v/>
      </c>
      <c r="AQ209" s="4">
        <f>ROUND(AM209/30,0)</f>
        <v/>
      </c>
      <c r="AR209" s="4" t="n"/>
      <c r="AS209" s="4" t="n"/>
      <c r="AT209" s="4">
        <f>AR209*(W209+7+30)</f>
        <v/>
      </c>
      <c r="AU209" s="4" t="n"/>
      <c r="AV209" s="4">
        <f>MAX(0,AT209-AD209-AC209)</f>
        <v/>
      </c>
      <c r="AW209" s="4" t="n"/>
      <c r="AX209" s="14">
        <f>TODAY()</f>
        <v/>
      </c>
      <c r="AY209" s="4" t="n"/>
      <c r="AZ209" s="4" t="n"/>
      <c r="BA209" s="16" t="n"/>
      <c r="BB209" s="16" t="n"/>
      <c r="BC209" s="16" t="n"/>
    </row>
    <row r="210" ht="14.25" customHeight="1" s="31">
      <c r="A210" s="4" t="n"/>
      <c r="B210" s="4" t="n"/>
      <c r="C210" s="19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>
        <f>L210*M210*N210/1000000</f>
        <v/>
      </c>
      <c r="R210" s="4" t="n"/>
      <c r="S210" s="4" t="n"/>
      <c r="T210" s="4" t="n"/>
      <c r="U210" s="4" t="n"/>
      <c r="V210" s="4" t="n"/>
      <c r="W210" s="4" t="n"/>
      <c r="X210" s="4">
        <f>AR210*(W210+30)</f>
        <v/>
      </c>
      <c r="Y210" s="4" t="n"/>
      <c r="Z210" s="4">
        <f>AA210+AB210+AC210</f>
        <v/>
      </c>
      <c r="AA210" s="4" t="n"/>
      <c r="AB210" s="4" t="n"/>
      <c r="AC210" s="4" t="n"/>
      <c r="AD210" s="4">
        <f>AA210+AB210</f>
        <v/>
      </c>
      <c r="AE210" s="13">
        <f>IF(AD210&lt;=AT210,"库存不足",IF(AD210&gt;=AT210*1.5,"库存预警","库存正常"))</f>
        <v/>
      </c>
      <c r="AF210" s="4">
        <f>MAX(AT210-AA210-AB210,0)</f>
        <v/>
      </c>
      <c r="AG210" s="4">
        <f>MAX(X210-AD210,0)</f>
        <v/>
      </c>
      <c r="AH210" s="4">
        <f>AF210-AG210</f>
        <v/>
      </c>
      <c r="AI210" s="14">
        <f>AX210+(AA210+AB210)/AR210-60</f>
        <v/>
      </c>
      <c r="AJ210" s="4" t="n"/>
      <c r="AK210" s="4" t="n"/>
      <c r="AL210" s="4" t="n"/>
      <c r="AM210" s="4" t="n"/>
      <c r="AN210" s="15" t="n"/>
      <c r="AO210" s="4">
        <f>ROUND(AK210/7,0)</f>
        <v/>
      </c>
      <c r="AP210" s="4">
        <f>ROUND(AL210/15,0)</f>
        <v/>
      </c>
      <c r="AQ210" s="4">
        <f>ROUND(AM210/30,0)</f>
        <v/>
      </c>
      <c r="AR210" s="4" t="n"/>
      <c r="AS210" s="4" t="n"/>
      <c r="AT210" s="4">
        <f>AR210*(W210+7+30)</f>
        <v/>
      </c>
      <c r="AU210" s="4" t="n"/>
      <c r="AV210" s="4">
        <f>MAX(0,AT210-AD210-AC210)</f>
        <v/>
      </c>
      <c r="AW210" s="4" t="n"/>
      <c r="AX210" s="14">
        <f>TODAY()</f>
        <v/>
      </c>
      <c r="AY210" s="4" t="n"/>
      <c r="AZ210" s="4" t="n"/>
      <c r="BA210" s="16" t="n"/>
      <c r="BB210" s="16" t="n"/>
      <c r="BC210" s="16" t="n"/>
    </row>
    <row r="211" ht="14.25" customHeight="1" s="31">
      <c r="A211" s="4" t="n"/>
      <c r="B211" s="4" t="n"/>
      <c r="C211" s="19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>
        <f>L211*M211*N211/1000000</f>
        <v/>
      </c>
      <c r="R211" s="4" t="n"/>
      <c r="S211" s="4" t="n"/>
      <c r="T211" s="4" t="n"/>
      <c r="U211" s="4" t="n"/>
      <c r="V211" s="4" t="n"/>
      <c r="W211" s="4" t="n"/>
      <c r="X211" s="4">
        <f>AR211*(W211+35+10)</f>
        <v/>
      </c>
      <c r="Y211" s="4">
        <f>AR211*(W211+35+10+45)</f>
        <v/>
      </c>
      <c r="Z211" s="4">
        <f>AA211+AB211+AC211</f>
        <v/>
      </c>
      <c r="AA211" s="4" t="n"/>
      <c r="AB211" s="4" t="n"/>
      <c r="AC211" s="4" t="n"/>
      <c r="AD211" s="4">
        <f>AA211+AB211</f>
        <v/>
      </c>
      <c r="AE211" s="13">
        <f>IF(AD211&lt;=AT211,"库存不足",IF(AD211&gt;=AT211*1.5,"库存预警","库存正常"))</f>
        <v/>
      </c>
      <c r="AF211" s="4">
        <f>MAX(AT211-AA211-AB211,0)</f>
        <v/>
      </c>
      <c r="AG211" s="4">
        <f>MAX(X211-AD211,0)</f>
        <v/>
      </c>
      <c r="AH211" s="4">
        <f>AF211-AG211</f>
        <v/>
      </c>
      <c r="AI211" s="14">
        <f>AX211+(AA211+AB211)/AR211-60</f>
        <v/>
      </c>
      <c r="AJ211" s="4" t="n"/>
      <c r="AK211" s="15" t="n"/>
      <c r="AL211" s="15" t="n"/>
      <c r="AM211" s="15" t="n"/>
      <c r="AN211" s="15" t="n"/>
      <c r="AO211" s="4">
        <f>ROUND(AK211/7,0)</f>
        <v/>
      </c>
      <c r="AP211" s="4">
        <f>ROUND(AL211/15,0)</f>
        <v/>
      </c>
      <c r="AQ211" s="4">
        <f>ROUND(AM211/30,0)</f>
        <v/>
      </c>
      <c r="AR211" s="4" t="n"/>
      <c r="AS211" s="4" t="n"/>
      <c r="AT211" s="4">
        <f>AR211*(W211+7+30)</f>
        <v/>
      </c>
      <c r="AU211" s="4" t="n"/>
      <c r="AV211" s="4">
        <f>MAX(0,AT211-AD211-AC211)</f>
        <v/>
      </c>
      <c r="AW211" s="4" t="n"/>
      <c r="AX211" s="14">
        <f>TODAY()</f>
        <v/>
      </c>
      <c r="AY211" s="4" t="n"/>
      <c r="AZ211" s="4" t="n"/>
      <c r="BA211" s="16" t="n"/>
      <c r="BB211" s="16" t="n"/>
      <c r="BC211" s="16" t="n"/>
    </row>
    <row r="212" ht="14.25" customHeight="1" s="31">
      <c r="A212" s="4" t="n"/>
      <c r="B212" s="4" t="n"/>
      <c r="C212" s="19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>
        <f>L212*M212*N212/1000000</f>
        <v/>
      </c>
      <c r="R212" s="4" t="n"/>
      <c r="S212" s="4" t="n"/>
      <c r="T212" s="4" t="n"/>
      <c r="U212" s="4" t="n"/>
      <c r="V212" s="4" t="n"/>
      <c r="W212" s="4" t="n"/>
      <c r="X212" s="4">
        <f>AR212*(W212+35+10)</f>
        <v/>
      </c>
      <c r="Y212" s="4">
        <f>AR212*(W212+35+10+45)</f>
        <v/>
      </c>
      <c r="Z212" s="4">
        <f>AA212+AB212+AC212</f>
        <v/>
      </c>
      <c r="AA212" s="4" t="n"/>
      <c r="AB212" s="4" t="n"/>
      <c r="AC212" s="4" t="n"/>
      <c r="AD212" s="4">
        <f>AA212+AB212</f>
        <v/>
      </c>
      <c r="AE212" s="13">
        <f>IF(AD212&lt;=AT212,"库存不足",IF(AD212&gt;=AT212*1.5,"库存预警","库存正常"))</f>
        <v/>
      </c>
      <c r="AF212" s="4">
        <f>MAX(AT212-AA212-AB212,0)</f>
        <v/>
      </c>
      <c r="AG212" s="4">
        <f>MAX(X212-AD212,0)</f>
        <v/>
      </c>
      <c r="AH212" s="4">
        <f>AF212-AG212</f>
        <v/>
      </c>
      <c r="AI212" s="14">
        <f>AX212+(AA212+AB212)/AR212-60</f>
        <v/>
      </c>
      <c r="AJ212" s="4" t="n"/>
      <c r="AK212" s="4" t="n"/>
      <c r="AL212" s="4" t="n"/>
      <c r="AM212" s="4" t="n"/>
      <c r="AN212" s="15" t="n"/>
      <c r="AO212" s="4">
        <f>ROUND(AK212/7,0)</f>
        <v/>
      </c>
      <c r="AP212" s="4">
        <f>ROUND(AL212/15,0)</f>
        <v/>
      </c>
      <c r="AQ212" s="4">
        <f>ROUND(AM212/30,0)</f>
        <v/>
      </c>
      <c r="AR212" s="4" t="n"/>
      <c r="AS212" s="4" t="n"/>
      <c r="AT212" s="4">
        <f>AR212*(W212+7+30)</f>
        <v/>
      </c>
      <c r="AU212" s="4" t="n"/>
      <c r="AV212" s="4">
        <f>MAX(0,AT212-AD212-AC212)</f>
        <v/>
      </c>
      <c r="AW212" s="4" t="n"/>
      <c r="AX212" s="14">
        <f>TODAY()</f>
        <v/>
      </c>
      <c r="AY212" s="4" t="n"/>
      <c r="AZ212" s="4" t="n"/>
      <c r="BA212" s="16" t="n"/>
      <c r="BB212" s="16" t="n"/>
      <c r="BC212" s="16" t="n"/>
    </row>
    <row r="213" ht="14.25" customHeight="1" s="31">
      <c r="A213" s="4" t="n"/>
      <c r="B213" s="4" t="n"/>
      <c r="C213" s="19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>
        <f>L213*M213*N213/1000000</f>
        <v/>
      </c>
      <c r="R213" s="4" t="n"/>
      <c r="S213" s="4" t="n"/>
      <c r="T213" s="4" t="n"/>
      <c r="U213" s="4" t="n"/>
      <c r="V213" s="4" t="n"/>
      <c r="W213" s="4" t="n"/>
      <c r="X213" s="4">
        <f>AR213*(W213+35+10)</f>
        <v/>
      </c>
      <c r="Y213" s="4">
        <f>AR213*(W213+35+10+45)</f>
        <v/>
      </c>
      <c r="Z213" s="4">
        <f>AA213+AB213+AC213</f>
        <v/>
      </c>
      <c r="AA213" s="4" t="n"/>
      <c r="AB213" s="4" t="n"/>
      <c r="AC213" s="4" t="n"/>
      <c r="AD213" s="4">
        <f>AA213+AB213</f>
        <v/>
      </c>
      <c r="AE213" s="13">
        <f>IF(AD213&lt;=AT213,"库存不足",IF(AD213&gt;=AT213*1.5,"库存预警","库存正常"))</f>
        <v/>
      </c>
      <c r="AF213" s="4">
        <f>MAX(AT213-AA213-AB213,0)</f>
        <v/>
      </c>
      <c r="AG213" s="4">
        <f>MAX(X213-AD213,0)</f>
        <v/>
      </c>
      <c r="AH213" s="4">
        <f>AF213-AG213</f>
        <v/>
      </c>
      <c r="AI213" s="14">
        <f>AX213+(AA213+AB213)/AR213-60</f>
        <v/>
      </c>
      <c r="AJ213" s="4" t="n"/>
      <c r="AK213" s="4" t="n"/>
      <c r="AL213" s="4" t="n"/>
      <c r="AM213" s="4" t="n"/>
      <c r="AN213" s="15" t="n"/>
      <c r="AO213" s="4">
        <f>ROUND(AK213/7,0)</f>
        <v/>
      </c>
      <c r="AP213" s="4">
        <f>ROUND(AL213/15,0)</f>
        <v/>
      </c>
      <c r="AQ213" s="4">
        <f>ROUND(AM213/30,0)</f>
        <v/>
      </c>
      <c r="AR213" s="4" t="n"/>
      <c r="AS213" s="4" t="n"/>
      <c r="AT213" s="4">
        <f>AR213*(W213+7+30)</f>
        <v/>
      </c>
      <c r="AU213" s="4" t="n"/>
      <c r="AV213" s="4">
        <f>MAX(0,AT213-AD213-AC213)</f>
        <v/>
      </c>
      <c r="AW213" s="4" t="n"/>
      <c r="AX213" s="14">
        <f>TODAY()</f>
        <v/>
      </c>
      <c r="AY213" s="4" t="n"/>
      <c r="AZ213" s="4" t="n"/>
      <c r="BA213" s="16" t="n"/>
      <c r="BB213" s="16" t="n"/>
      <c r="BC213" s="16" t="n"/>
    </row>
    <row r="214" ht="14.25" customHeight="1" s="31">
      <c r="A214" s="4" t="n"/>
      <c r="B214" s="4" t="n"/>
      <c r="C214" s="19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>
        <f>L214*M214*N214/1000000</f>
        <v/>
      </c>
      <c r="R214" s="4" t="n"/>
      <c r="S214" s="4" t="n"/>
      <c r="T214" s="4" t="n"/>
      <c r="U214" s="4" t="n"/>
      <c r="V214" s="4" t="n"/>
      <c r="W214" s="4" t="n"/>
      <c r="X214" s="4">
        <f>AR214*(W214+35+10)</f>
        <v/>
      </c>
      <c r="Y214" s="4">
        <f>AR214*(W214+35+10+45)</f>
        <v/>
      </c>
      <c r="Z214" s="4">
        <f>AA214+AB214+AC214</f>
        <v/>
      </c>
      <c r="AA214" s="4" t="n"/>
      <c r="AB214" s="4" t="n"/>
      <c r="AC214" s="4" t="n"/>
      <c r="AD214" s="4">
        <f>AA214+AB214</f>
        <v/>
      </c>
      <c r="AE214" s="13">
        <f>IF(AD214&lt;=AT214,"库存不足",IF(AD214&gt;=AT214*1.5,"库存预警","库存正常"))</f>
        <v/>
      </c>
      <c r="AF214" s="4">
        <f>MAX(AT214-AA214-AB214,0)</f>
        <v/>
      </c>
      <c r="AG214" s="4">
        <f>MAX(X214-AD214,0)</f>
        <v/>
      </c>
      <c r="AH214" s="4">
        <f>AF214-AG214</f>
        <v/>
      </c>
      <c r="AI214" s="14">
        <f>AX214+(AA214+AB214)/AR214-60</f>
        <v/>
      </c>
      <c r="AJ214" s="4" t="n"/>
      <c r="AK214" s="15" t="n"/>
      <c r="AL214" s="15" t="n"/>
      <c r="AM214" s="15" t="n"/>
      <c r="AN214" s="15" t="n"/>
      <c r="AO214" s="4">
        <f>ROUND(AK214/7,0)</f>
        <v/>
      </c>
      <c r="AP214" s="4">
        <f>ROUND(AL214/15,0)</f>
        <v/>
      </c>
      <c r="AQ214" s="4">
        <f>ROUND(AM214/30,0)</f>
        <v/>
      </c>
      <c r="AR214" s="4" t="n"/>
      <c r="AS214" s="4" t="n"/>
      <c r="AT214" s="4">
        <f>AR214*(W214+7+30)</f>
        <v/>
      </c>
      <c r="AU214" s="4" t="n"/>
      <c r="AV214" s="4">
        <f>MAX(0,AT214-AD214-AC214)</f>
        <v/>
      </c>
      <c r="AW214" s="4" t="n"/>
      <c r="AX214" s="14">
        <f>TODAY()</f>
        <v/>
      </c>
      <c r="AY214" s="4" t="n"/>
      <c r="AZ214" s="4" t="n"/>
      <c r="BA214" s="16" t="n"/>
      <c r="BB214" s="16" t="n"/>
      <c r="BC214" s="16" t="n"/>
    </row>
    <row r="215" ht="14.25" customHeight="1" s="31">
      <c r="A215" s="4" t="n"/>
      <c r="B215" s="4" t="n"/>
      <c r="C215" s="19" t="n"/>
      <c r="D215" s="4" t="n"/>
      <c r="E215" s="19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>
        <f>L215*M215*N215/1000000</f>
        <v/>
      </c>
      <c r="R215" s="4" t="n"/>
      <c r="S215" s="4" t="n"/>
      <c r="T215" s="4" t="n"/>
      <c r="U215" s="4" t="n"/>
      <c r="V215" s="4" t="n"/>
      <c r="W215" s="4" t="n"/>
      <c r="X215" s="4">
        <f>AR215*(W215+35+10)</f>
        <v/>
      </c>
      <c r="Y215" s="4">
        <f>AR215*(W215+35+10+45)</f>
        <v/>
      </c>
      <c r="Z215" s="4">
        <f>AA215+AB215+AC215</f>
        <v/>
      </c>
      <c r="AA215" s="4" t="n"/>
      <c r="AB215" s="4" t="n"/>
      <c r="AC215" s="4" t="n"/>
      <c r="AD215" s="4">
        <f>AA215+AB215</f>
        <v/>
      </c>
      <c r="AE215" s="13">
        <f>IF(AD215&lt;=AT215,"库存不足",IF(AD215&gt;=AT215*1.5,"库存预警","库存正常"))</f>
        <v/>
      </c>
      <c r="AF215" s="4">
        <f>MAX(AT215-AA215-AB215,0)</f>
        <v/>
      </c>
      <c r="AG215" s="4">
        <f>MAX(X215-AD215,0)</f>
        <v/>
      </c>
      <c r="AH215" s="4">
        <f>AF215-AG215</f>
        <v/>
      </c>
      <c r="AI215" s="14">
        <f>AX215+(AA215+AB215)/AR215-60</f>
        <v/>
      </c>
      <c r="AJ215" s="4" t="n"/>
      <c r="AK215" s="15" t="n"/>
      <c r="AL215" s="15" t="n"/>
      <c r="AM215" s="15" t="n"/>
      <c r="AN215" s="15" t="n"/>
      <c r="AO215" s="4">
        <f>ROUND(AK215/7,0)</f>
        <v/>
      </c>
      <c r="AP215" s="4">
        <f>ROUND(AL215/15,0)</f>
        <v/>
      </c>
      <c r="AQ215" s="4">
        <f>ROUND(AM215/30,0)</f>
        <v/>
      </c>
      <c r="AR215" s="4" t="n"/>
      <c r="AS215" s="4" t="n"/>
      <c r="AT215" s="4">
        <f>AR215*(W215+7+30)</f>
        <v/>
      </c>
      <c r="AU215" s="4" t="n"/>
      <c r="AV215" s="4">
        <f>MAX(0,AT215-AD215-AC215)</f>
        <v/>
      </c>
      <c r="AW215" s="4" t="n"/>
      <c r="AX215" s="14">
        <f>TODAY()</f>
        <v/>
      </c>
      <c r="AY215" s="4" t="n"/>
      <c r="AZ215" s="4" t="n"/>
      <c r="BA215" s="16" t="n"/>
      <c r="BB215" s="16" t="n"/>
      <c r="BC215" s="16" t="n"/>
    </row>
    <row r="216" ht="14.25" customHeight="1" s="31">
      <c r="A216" s="4" t="n"/>
      <c r="B216" s="4" t="n"/>
      <c r="C216" s="19" t="n"/>
      <c r="D216" s="4" t="n"/>
      <c r="E216" s="19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>
        <f>L216*M216*N216/1000000</f>
        <v/>
      </c>
      <c r="R216" s="4" t="n"/>
      <c r="S216" s="4" t="n"/>
      <c r="T216" s="4" t="n"/>
      <c r="U216" s="4" t="n"/>
      <c r="V216" s="4" t="n"/>
      <c r="W216" s="4" t="n"/>
      <c r="X216" s="4">
        <f>AR216*(W216+35+10)</f>
        <v/>
      </c>
      <c r="Y216" s="4">
        <f>AR216*(W216+35+10+45)</f>
        <v/>
      </c>
      <c r="Z216" s="4">
        <f>AA216+AB216+AC216</f>
        <v/>
      </c>
      <c r="AA216" s="4" t="n"/>
      <c r="AB216" s="4" t="n"/>
      <c r="AC216" s="4" t="n"/>
      <c r="AD216" s="4">
        <f>AA216+AB216</f>
        <v/>
      </c>
      <c r="AE216" s="13">
        <f>IF(AD216&lt;=AT216,"库存不足",IF(AD216&gt;=AT216*1.5,"库存预警","库存正常"))</f>
        <v/>
      </c>
      <c r="AF216" s="4">
        <f>MAX(AT216-AA216-AB216,0)</f>
        <v/>
      </c>
      <c r="AG216" s="4">
        <f>MAX(X216-AD216,0)</f>
        <v/>
      </c>
      <c r="AH216" s="4">
        <f>AF216-AG216</f>
        <v/>
      </c>
      <c r="AI216" s="14">
        <f>AX216+(AA216+AB216)/AR216-60</f>
        <v/>
      </c>
      <c r="AJ216" s="4" t="n"/>
      <c r="AK216" s="4" t="n"/>
      <c r="AL216" s="4" t="n"/>
      <c r="AM216" s="4" t="n"/>
      <c r="AN216" s="15" t="n"/>
      <c r="AO216" s="4">
        <f>ROUND(AK216/7,0)</f>
        <v/>
      </c>
      <c r="AP216" s="4">
        <f>ROUND(AL216/15,0)</f>
        <v/>
      </c>
      <c r="AQ216" s="4">
        <f>ROUND(AM216/30,0)</f>
        <v/>
      </c>
      <c r="AR216" s="4" t="n"/>
      <c r="AS216" s="4" t="n"/>
      <c r="AT216" s="4">
        <f>AR216*(W216+7+30)</f>
        <v/>
      </c>
      <c r="AU216" s="4" t="n"/>
      <c r="AV216" s="4">
        <f>MAX(0,AT216-AD216-AC216)</f>
        <v/>
      </c>
      <c r="AW216" s="4" t="n"/>
      <c r="AX216" s="14">
        <f>TODAY()</f>
        <v/>
      </c>
      <c r="AY216" s="4" t="n"/>
      <c r="AZ216" s="4" t="n"/>
      <c r="BA216" s="16" t="n"/>
      <c r="BB216" s="16" t="n"/>
      <c r="BC216" s="16" t="n"/>
    </row>
    <row r="217" ht="14.25" customHeight="1" s="31">
      <c r="A217" s="4" t="n"/>
      <c r="B217" s="4" t="n"/>
      <c r="C217" s="19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>
        <f>L217*M217*N217/1000000</f>
        <v/>
      </c>
      <c r="R217" s="4" t="n"/>
      <c r="S217" s="4" t="n"/>
      <c r="T217" s="4" t="n"/>
      <c r="U217" s="4" t="n"/>
      <c r="V217" s="4" t="n"/>
      <c r="W217" s="4" t="n"/>
      <c r="X217" s="4">
        <f>AR217*(W217+30)</f>
        <v/>
      </c>
      <c r="Y217" s="4" t="n"/>
      <c r="Z217" s="4">
        <f>AA217+AB217+AC217</f>
        <v/>
      </c>
      <c r="AA217" s="4" t="n"/>
      <c r="AB217" s="4" t="n"/>
      <c r="AC217" s="4" t="n"/>
      <c r="AD217" s="4">
        <f>AA217+AB217</f>
        <v/>
      </c>
      <c r="AE217" s="13">
        <f>IF(AD217&lt;=AT217,"库存不足",IF(AD217&gt;=AT217*1.5,"库存预警","库存正常"))</f>
        <v/>
      </c>
      <c r="AF217" s="4">
        <f>MAX(AT217-AA217-AB217,0)</f>
        <v/>
      </c>
      <c r="AG217" s="4">
        <f>MAX(X217-AD217,0)</f>
        <v/>
      </c>
      <c r="AH217" s="4">
        <f>AF217-AG217</f>
        <v/>
      </c>
      <c r="AI217" s="14">
        <f>AX217+(AA217+AB217)/AR217-60</f>
        <v/>
      </c>
      <c r="AJ217" s="4" t="n"/>
      <c r="AK217" s="4" t="n"/>
      <c r="AL217" s="4" t="n"/>
      <c r="AM217" s="4" t="n"/>
      <c r="AN217" s="15" t="n"/>
      <c r="AO217" s="4">
        <f>ROUND(AK217/7,0)</f>
        <v/>
      </c>
      <c r="AP217" s="4">
        <f>ROUND(AL217/15,0)</f>
        <v/>
      </c>
      <c r="AQ217" s="4">
        <f>ROUND(AM217/30,0)</f>
        <v/>
      </c>
      <c r="AR217" s="4" t="n"/>
      <c r="AS217" s="4" t="n"/>
      <c r="AT217" s="4">
        <f>AR217*(W217+7+30)</f>
        <v/>
      </c>
      <c r="AU217" s="35" t="n"/>
      <c r="AV217" s="4">
        <f>MAX(0,AT217-AD217-AC217)</f>
        <v/>
      </c>
      <c r="AW217" s="4" t="n"/>
      <c r="AX217" s="14">
        <f>TODAY()</f>
        <v/>
      </c>
      <c r="AY217" s="4" t="n"/>
      <c r="AZ217" s="4" t="n"/>
      <c r="BA217" s="16" t="n"/>
      <c r="BB217" s="16" t="n"/>
      <c r="BC217" s="16" t="n"/>
    </row>
    <row r="218" ht="14.25" customHeight="1" s="31">
      <c r="A218" s="4" t="n"/>
      <c r="B218" s="4" t="n"/>
      <c r="C218" s="19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>
        <f>L218*M218*N218/1000000</f>
        <v/>
      </c>
      <c r="R218" s="4" t="n"/>
      <c r="S218" s="4" t="n"/>
      <c r="T218" s="4" t="n"/>
      <c r="U218" s="4" t="n"/>
      <c r="V218" s="4" t="n"/>
      <c r="W218" s="4" t="n"/>
      <c r="X218" s="4">
        <f>AR218*(W218+30)</f>
        <v/>
      </c>
      <c r="Y218" s="4" t="n"/>
      <c r="Z218" s="4">
        <f>AA218+AB218+AC218</f>
        <v/>
      </c>
      <c r="AA218" s="4" t="n"/>
      <c r="AB218" s="4" t="n"/>
      <c r="AC218" s="4" t="n"/>
      <c r="AD218" s="4">
        <f>AA218+AB218</f>
        <v/>
      </c>
      <c r="AE218" s="13">
        <f>IF(AD218&lt;=AT218,"库存不足",IF(AD218&gt;=AT218*1.5,"库存预警","库存正常"))</f>
        <v/>
      </c>
      <c r="AF218" s="4">
        <f>MAX(AT218-AA218-AB218,0)</f>
        <v/>
      </c>
      <c r="AG218" s="4">
        <f>MAX(X218-AD218,0)</f>
        <v/>
      </c>
      <c r="AH218" s="4">
        <f>AF218-AG218</f>
        <v/>
      </c>
      <c r="AI218" s="14">
        <f>AX218+(AA218+AB218)/AR218-60</f>
        <v/>
      </c>
      <c r="AJ218" s="4" t="n"/>
      <c r="AK218" s="4" t="n"/>
      <c r="AL218" s="4" t="n"/>
      <c r="AM218" s="4" t="n"/>
      <c r="AN218" s="15" t="n"/>
      <c r="AO218" s="4">
        <f>ROUND(AK218/7,0)</f>
        <v/>
      </c>
      <c r="AP218" s="4">
        <f>ROUND(AL218/15,0)</f>
        <v/>
      </c>
      <c r="AQ218" s="4">
        <f>ROUND(AM218/30,0)</f>
        <v/>
      </c>
      <c r="AR218" s="4" t="n"/>
      <c r="AS218" s="4" t="n"/>
      <c r="AT218" s="4">
        <f>AR218*(W218+7+30)</f>
        <v/>
      </c>
      <c r="AU218" s="4" t="n"/>
      <c r="AV218" s="4">
        <f>MAX(0,AT218-AD218-AC218)</f>
        <v/>
      </c>
      <c r="AW218" s="4" t="n"/>
      <c r="AX218" s="14">
        <f>TODAY()</f>
        <v/>
      </c>
      <c r="AY218" s="4" t="n"/>
      <c r="AZ218" s="4" t="n"/>
      <c r="BA218" s="16" t="n"/>
      <c r="BB218" s="16" t="n"/>
      <c r="BC218" s="16" t="n"/>
    </row>
    <row r="219" ht="14.25" customHeight="1" s="31">
      <c r="A219" s="4" t="n"/>
      <c r="B219" s="4" t="n"/>
      <c r="C219" s="19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>
        <f>L219*M219*N219/1000000</f>
        <v/>
      </c>
      <c r="R219" s="4" t="n"/>
      <c r="S219" s="4" t="n"/>
      <c r="T219" s="4" t="n"/>
      <c r="U219" s="4" t="n"/>
      <c r="V219" s="4" t="n"/>
      <c r="W219" s="4" t="n"/>
      <c r="X219" s="4">
        <f>AR219*(W219+30)</f>
        <v/>
      </c>
      <c r="Y219" s="4" t="n"/>
      <c r="Z219" s="4">
        <f>AA219+AB219+AC219</f>
        <v/>
      </c>
      <c r="AA219" s="4" t="n"/>
      <c r="AB219" s="4" t="n"/>
      <c r="AC219" s="4" t="n"/>
      <c r="AD219" s="4">
        <f>AA219+AB219</f>
        <v/>
      </c>
      <c r="AE219" s="13">
        <f>IF(AD219&lt;=AT219,"库存不足",IF(AD219&gt;=AT219*1.5,"库存预警","库存正常"))</f>
        <v/>
      </c>
      <c r="AF219" s="4">
        <f>MAX(AT219-AA219-AB219,0)</f>
        <v/>
      </c>
      <c r="AG219" s="4">
        <f>MAX(X219-AD219,0)</f>
        <v/>
      </c>
      <c r="AH219" s="4">
        <f>AF219-AG219</f>
        <v/>
      </c>
      <c r="AI219" s="14">
        <f>AX219+(AA219+AB219)/AR219-60</f>
        <v/>
      </c>
      <c r="AJ219" s="4" t="n"/>
      <c r="AK219" s="4" t="n"/>
      <c r="AL219" s="4" t="n"/>
      <c r="AM219" s="4" t="n"/>
      <c r="AN219" s="15" t="n"/>
      <c r="AO219" s="4">
        <f>ROUND(AK219/7,0)</f>
        <v/>
      </c>
      <c r="AP219" s="4">
        <f>ROUND(AL219/15,0)</f>
        <v/>
      </c>
      <c r="AQ219" s="4">
        <f>ROUND(AM219/30,0)</f>
        <v/>
      </c>
      <c r="AR219" s="4" t="n"/>
      <c r="AS219" s="4" t="n"/>
      <c r="AT219" s="4">
        <f>AR219*(W219+7+30)</f>
        <v/>
      </c>
      <c r="AU219" s="35" t="n"/>
      <c r="AV219" s="4">
        <f>MAX(0,AT219-AD219-AC219)</f>
        <v/>
      </c>
      <c r="AW219" s="4" t="n"/>
      <c r="AX219" s="14">
        <f>TODAY()</f>
        <v/>
      </c>
      <c r="AY219" s="4" t="n"/>
      <c r="AZ219" s="4" t="n"/>
      <c r="BA219" s="16" t="n"/>
      <c r="BB219" s="16" t="n"/>
      <c r="BC219" s="16" t="n"/>
    </row>
    <row r="220" ht="14.25" customHeight="1" s="31">
      <c r="A220" s="4" t="n"/>
      <c r="B220" s="4" t="n"/>
      <c r="C220" s="19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>
        <f>L220*M220*N220/1000000</f>
        <v/>
      </c>
      <c r="R220" s="4" t="n"/>
      <c r="S220" s="4" t="n"/>
      <c r="T220" s="4" t="n"/>
      <c r="U220" s="4" t="n"/>
      <c r="V220" s="4" t="n"/>
      <c r="W220" s="4" t="n"/>
      <c r="X220" s="4">
        <f>AR220*(W220+30)</f>
        <v/>
      </c>
      <c r="Y220" s="4" t="n"/>
      <c r="Z220" s="4">
        <f>AA220+AB220+AC220</f>
        <v/>
      </c>
      <c r="AA220" s="4" t="n"/>
      <c r="AB220" s="4" t="n"/>
      <c r="AC220" s="4" t="n"/>
      <c r="AD220" s="4">
        <f>AA220+AB220</f>
        <v/>
      </c>
      <c r="AE220" s="13">
        <f>IF(AD220&lt;=AT220,"库存不足",IF(AD220&gt;=AT220*1.5,"库存预警","库存正常"))</f>
        <v/>
      </c>
      <c r="AF220" s="4">
        <f>MAX(AT220-AA220-AB220,0)</f>
        <v/>
      </c>
      <c r="AG220" s="4">
        <f>MAX(X220-AD220,0)</f>
        <v/>
      </c>
      <c r="AH220" s="4">
        <f>AF220-AG220</f>
        <v/>
      </c>
      <c r="AI220" s="14">
        <f>AX220+(AA220+AB220)/AR220-60</f>
        <v/>
      </c>
      <c r="AJ220" s="4" t="n"/>
      <c r="AK220" s="4" t="n"/>
      <c r="AL220" s="4" t="n"/>
      <c r="AM220" s="4" t="n"/>
      <c r="AN220" s="15" t="n"/>
      <c r="AO220" s="4">
        <f>ROUND(AK220/7,0)</f>
        <v/>
      </c>
      <c r="AP220" s="4">
        <f>ROUND(AL220/15,0)</f>
        <v/>
      </c>
      <c r="AQ220" s="4">
        <f>ROUND(AM220/30,0)</f>
        <v/>
      </c>
      <c r="AR220" s="4" t="n"/>
      <c r="AS220" s="4" t="n"/>
      <c r="AT220" s="4">
        <f>AR220*(W220+7+30)</f>
        <v/>
      </c>
      <c r="AU220" s="4" t="n"/>
      <c r="AV220" s="4">
        <f>MAX(0,AT220-AD220-AC220)</f>
        <v/>
      </c>
      <c r="AW220" s="4" t="n"/>
      <c r="AX220" s="14">
        <f>TODAY()</f>
        <v/>
      </c>
      <c r="AY220" s="4" t="n"/>
      <c r="AZ220" s="4" t="n"/>
      <c r="BA220" s="16" t="n"/>
      <c r="BB220" s="16" t="n"/>
      <c r="BC220" s="16" t="n"/>
    </row>
    <row r="221" ht="14.25" customHeight="1" s="31">
      <c r="A221" s="4" t="n"/>
      <c r="B221" s="4" t="n"/>
      <c r="C221" s="19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>
        <f>L221*M221*N221/1000000</f>
        <v/>
      </c>
      <c r="R221" s="4" t="n"/>
      <c r="S221" s="4" t="n"/>
      <c r="T221" s="4" t="n"/>
      <c r="U221" s="4" t="n"/>
      <c r="V221" s="4" t="n"/>
      <c r="W221" s="4" t="n"/>
      <c r="X221" s="4">
        <f>AR221*(W221+30)</f>
        <v/>
      </c>
      <c r="Y221" s="4" t="n"/>
      <c r="Z221" s="4">
        <f>AA221+AB221+AC221</f>
        <v/>
      </c>
      <c r="AA221" s="4" t="n"/>
      <c r="AB221" s="4" t="n"/>
      <c r="AC221" s="4" t="n"/>
      <c r="AD221" s="4">
        <f>AA221+AB221</f>
        <v/>
      </c>
      <c r="AE221" s="13">
        <f>IF(AD221&lt;=AT221,"库存不足",IF(AD221&gt;=AT221*1.5,"库存预警","库存正常"))</f>
        <v/>
      </c>
      <c r="AF221" s="4">
        <f>MAX(AT221-AA221-AB221,0)</f>
        <v/>
      </c>
      <c r="AG221" s="4">
        <f>MAX(X221-AD221,0)</f>
        <v/>
      </c>
      <c r="AH221" s="4">
        <f>AF221-AG221</f>
        <v/>
      </c>
      <c r="AI221" s="14">
        <f>AX221+(AA221+AB221)/AR221-60</f>
        <v/>
      </c>
      <c r="AJ221" s="4" t="n"/>
      <c r="AK221" s="4" t="n"/>
      <c r="AL221" s="4" t="n"/>
      <c r="AM221" s="4" t="n"/>
      <c r="AN221" s="15" t="n"/>
      <c r="AO221" s="4">
        <f>ROUND(AK221/7,0)</f>
        <v/>
      </c>
      <c r="AP221" s="4">
        <f>ROUND(AL221/15,0)</f>
        <v/>
      </c>
      <c r="AQ221" s="4">
        <f>ROUND(AM221/30,0)</f>
        <v/>
      </c>
      <c r="AR221" s="4" t="n"/>
      <c r="AS221" s="4" t="n"/>
      <c r="AT221" s="4">
        <f>AR221*(W221+7+30)</f>
        <v/>
      </c>
      <c r="AU221" s="4" t="n"/>
      <c r="AV221" s="4">
        <f>MAX(0,AT221-AD221-AC221)</f>
        <v/>
      </c>
      <c r="AW221" s="4" t="n"/>
      <c r="AX221" s="14">
        <f>TODAY()</f>
        <v/>
      </c>
      <c r="AY221" s="4" t="n"/>
      <c r="AZ221" s="4" t="n"/>
      <c r="BA221" s="16" t="n"/>
      <c r="BB221" s="16" t="n"/>
      <c r="BC221" s="16" t="n"/>
    </row>
    <row r="222" ht="14.25" customHeight="1" s="31">
      <c r="A222" s="4" t="n"/>
      <c r="B222" s="4" t="n"/>
      <c r="C222" s="19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>
        <f>L222*M222*N222/1000000</f>
        <v/>
      </c>
      <c r="R222" s="4" t="n"/>
      <c r="S222" s="4" t="n"/>
      <c r="T222" s="4" t="n"/>
      <c r="U222" s="4" t="n"/>
      <c r="V222" s="4" t="n"/>
      <c r="W222" s="4" t="n"/>
      <c r="X222" s="4">
        <f>AR222*(W222+30)</f>
        <v/>
      </c>
      <c r="Y222" s="4" t="n"/>
      <c r="Z222" s="4">
        <f>AA222+AB222+AC222</f>
        <v/>
      </c>
      <c r="AA222" s="4" t="n"/>
      <c r="AB222" s="4" t="n"/>
      <c r="AC222" s="4" t="n"/>
      <c r="AD222" s="4">
        <f>AA222+AB222</f>
        <v/>
      </c>
      <c r="AE222" s="13">
        <f>IF(AD222&lt;=AT222,"库存不足",IF(AD222&gt;=AT222*1.5,"库存预警","库存正常"))</f>
        <v/>
      </c>
      <c r="AF222" s="4">
        <f>MAX(AT222-AA222-AB222,0)</f>
        <v/>
      </c>
      <c r="AG222" s="4">
        <f>MAX(X222-AD222,0)</f>
        <v/>
      </c>
      <c r="AH222" s="4">
        <f>AF222-AG222</f>
        <v/>
      </c>
      <c r="AI222" s="14">
        <f>AX222+(AA222+AB222)/AR222-60</f>
        <v/>
      </c>
      <c r="AJ222" s="4" t="n"/>
      <c r="AK222" s="4" t="n"/>
      <c r="AL222" s="4" t="n"/>
      <c r="AM222" s="4" t="n"/>
      <c r="AN222" s="15" t="n"/>
      <c r="AO222" s="4">
        <f>ROUND(AK222/7,0)</f>
        <v/>
      </c>
      <c r="AP222" s="4">
        <f>ROUND(AL222/15,0)</f>
        <v/>
      </c>
      <c r="AQ222" s="4">
        <f>ROUND(AM222/30,0)</f>
        <v/>
      </c>
      <c r="AR222" s="4" t="n"/>
      <c r="AS222" s="4" t="n"/>
      <c r="AT222" s="4">
        <f>AR222*(W222+7+30)</f>
        <v/>
      </c>
      <c r="AU222" s="4" t="n"/>
      <c r="AV222" s="4">
        <f>MAX(0,AT222-AD222-AC222)</f>
        <v/>
      </c>
      <c r="AW222" s="4" t="n"/>
      <c r="AX222" s="14">
        <f>TODAY()</f>
        <v/>
      </c>
      <c r="AY222" s="4" t="n"/>
      <c r="AZ222" s="4" t="n"/>
      <c r="BA222" s="16" t="n"/>
      <c r="BB222" s="16" t="n"/>
      <c r="BC222" s="16" t="n"/>
    </row>
    <row r="223" ht="14.25" customHeight="1" s="31">
      <c r="A223" s="4" t="n"/>
      <c r="B223" s="4" t="n"/>
      <c r="C223" s="19" t="n"/>
      <c r="D223" s="4" t="n"/>
      <c r="E223" s="19" t="n"/>
      <c r="F223" s="4" t="n"/>
      <c r="G223" s="4" t="n"/>
      <c r="H223" s="4" t="n"/>
      <c r="I223" s="4" t="n"/>
      <c r="J223" s="4">
        <f>K223*1000</f>
        <v/>
      </c>
      <c r="K223" s="4" t="n"/>
      <c r="L223" s="4" t="n"/>
      <c r="M223" s="4" t="n"/>
      <c r="N223" s="4" t="n"/>
      <c r="O223" s="4" t="n"/>
      <c r="P223" s="4" t="n"/>
      <c r="Q223" s="4">
        <f>L223*M223*N223/1000000</f>
        <v/>
      </c>
      <c r="R223" s="4" t="n"/>
      <c r="S223" s="4" t="n"/>
      <c r="T223" s="4" t="n"/>
      <c r="U223" s="4" t="n"/>
      <c r="V223" s="4" t="n"/>
      <c r="W223" s="4" t="n"/>
      <c r="X223" s="4">
        <f>AR223*(W223+35+10)</f>
        <v/>
      </c>
      <c r="Y223" s="4">
        <f>AR223*(W223+35+10+45)</f>
        <v/>
      </c>
      <c r="Z223" s="4">
        <f>AA223+AB223+AC223</f>
        <v/>
      </c>
      <c r="AA223" s="4" t="n"/>
      <c r="AB223" s="4" t="n"/>
      <c r="AC223" s="4" t="n"/>
      <c r="AD223" s="4">
        <f>AA223+AB223</f>
        <v/>
      </c>
      <c r="AE223" s="13">
        <f>IF(AD223&lt;=AT223,"库存不足",IF(AD223&gt;=AT223*1.5,"库存预警","库存正常"))</f>
        <v/>
      </c>
      <c r="AF223" s="4">
        <f>MAX(AT223-AA223-AB223,0)</f>
        <v/>
      </c>
      <c r="AG223" s="4">
        <f>MAX(X223-AD223,0)</f>
        <v/>
      </c>
      <c r="AH223" s="4">
        <f>AF223-AG223</f>
        <v/>
      </c>
      <c r="AI223" s="14">
        <f>AX223+(AA223+AB223)/AR223-60</f>
        <v/>
      </c>
      <c r="AJ223" s="4" t="n"/>
      <c r="AK223" s="15" t="n"/>
      <c r="AL223" s="15" t="n"/>
      <c r="AM223" s="15" t="n"/>
      <c r="AN223" s="15" t="n"/>
      <c r="AO223" s="4">
        <f>ROUND(AK223/7,0)</f>
        <v/>
      </c>
      <c r="AP223" s="4">
        <f>ROUND(AL223/15,0)</f>
        <v/>
      </c>
      <c r="AQ223" s="4">
        <f>ROUND(AM223/30,0)</f>
        <v/>
      </c>
      <c r="AR223" s="4" t="n"/>
      <c r="AS223" s="4" t="n"/>
      <c r="AT223" s="4">
        <f>AR223*(W223+7+30)</f>
        <v/>
      </c>
      <c r="AU223" s="4" t="n"/>
      <c r="AV223" s="4">
        <f>MAX(0,AT223-AD223-AC223)</f>
        <v/>
      </c>
      <c r="AW223" s="4" t="n"/>
      <c r="AX223" s="14">
        <f>TODAY()</f>
        <v/>
      </c>
      <c r="AY223" s="4" t="n"/>
      <c r="AZ223" s="4" t="n"/>
      <c r="BA223" s="16" t="n"/>
      <c r="BB223" s="16" t="n"/>
      <c r="BC223" s="16" t="n"/>
    </row>
    <row r="224" ht="14.25" customHeight="1" s="31">
      <c r="A224" s="4" t="n"/>
      <c r="B224" s="4" t="n"/>
      <c r="C224" s="19" t="n"/>
      <c r="D224" s="4" t="n"/>
      <c r="E224" s="4" t="n"/>
      <c r="F224" s="4" t="n"/>
      <c r="G224" s="4" t="n"/>
      <c r="H224" s="4" t="n"/>
      <c r="I224" s="4" t="n"/>
      <c r="J224" s="4">
        <f>K224*1000</f>
        <v/>
      </c>
      <c r="K224" s="4" t="n"/>
      <c r="L224" s="4" t="n"/>
      <c r="M224" s="4" t="n"/>
      <c r="N224" s="4" t="n"/>
      <c r="O224" s="4" t="n"/>
      <c r="P224" s="4" t="n"/>
      <c r="Q224" s="4">
        <f>L224*M224*N224/1000000</f>
        <v/>
      </c>
      <c r="R224" s="4" t="n"/>
      <c r="S224" s="4" t="n"/>
      <c r="T224" s="4" t="n"/>
      <c r="U224" s="4" t="n"/>
      <c r="V224" s="4" t="n"/>
      <c r="W224" s="4" t="n"/>
      <c r="X224" s="4">
        <f>AR224*(W224+35+10)</f>
        <v/>
      </c>
      <c r="Y224" s="4">
        <f>AR224*(W224+35+10+45)</f>
        <v/>
      </c>
      <c r="Z224" s="4">
        <f>AA224+AB224+AC224</f>
        <v/>
      </c>
      <c r="AA224" s="4" t="n"/>
      <c r="AB224" s="4" t="n"/>
      <c r="AC224" s="4" t="n"/>
      <c r="AD224" s="4">
        <f>AA224+AB224</f>
        <v/>
      </c>
      <c r="AE224" s="13">
        <f>IF(AD224&lt;=AT224,"库存不足",IF(AD224&gt;=AT224*1.5,"库存预警","库存正常"))</f>
        <v/>
      </c>
      <c r="AF224" s="4">
        <f>MAX(AT224-AA224-AB224,0)</f>
        <v/>
      </c>
      <c r="AG224" s="4">
        <f>MAX(X224-AD224,0)</f>
        <v/>
      </c>
      <c r="AH224" s="4">
        <f>AF224-AG224</f>
        <v/>
      </c>
      <c r="AI224" s="14">
        <f>AX224+(AA224+AB224)/AR224-60</f>
        <v/>
      </c>
      <c r="AJ224" s="4" t="n"/>
      <c r="AK224" s="4" t="n"/>
      <c r="AL224" s="4" t="n"/>
      <c r="AM224" s="4" t="n"/>
      <c r="AN224" s="15" t="n"/>
      <c r="AO224" s="4">
        <f>ROUND(AK224/7,0)</f>
        <v/>
      </c>
      <c r="AP224" s="4">
        <f>ROUND(AL224/15,0)</f>
        <v/>
      </c>
      <c r="AQ224" s="4">
        <f>ROUND(AM224/30,0)</f>
        <v/>
      </c>
      <c r="AR224" s="4" t="n"/>
      <c r="AS224" s="4" t="n"/>
      <c r="AT224" s="4">
        <f>AR224*(W224+7+30)</f>
        <v/>
      </c>
      <c r="AU224" s="4" t="n"/>
      <c r="AV224" s="4">
        <f>MAX(0,AT224-AD224-AC224)</f>
        <v/>
      </c>
      <c r="AW224" s="4" t="n"/>
      <c r="AX224" s="14">
        <f>TODAY()</f>
        <v/>
      </c>
      <c r="AY224" s="4" t="n"/>
      <c r="AZ224" s="4" t="n"/>
      <c r="BA224" s="16" t="n"/>
      <c r="BB224" s="16" t="n"/>
      <c r="BC224" s="16" t="n"/>
    </row>
    <row r="225" ht="14.25" customHeight="1" s="31">
      <c r="A225" s="4" t="n"/>
      <c r="B225" s="4" t="n"/>
      <c r="C225" s="19" t="n"/>
      <c r="D225" s="4" t="n"/>
      <c r="E225" s="4" t="n"/>
      <c r="F225" s="4" t="n"/>
      <c r="G225" s="4" t="n"/>
      <c r="H225" s="4" t="n"/>
      <c r="I225" s="4" t="n"/>
      <c r="J225" s="4">
        <f>K225*1000</f>
        <v/>
      </c>
      <c r="K225" s="4" t="n"/>
      <c r="L225" s="4" t="n"/>
      <c r="M225" s="4" t="n"/>
      <c r="N225" s="4" t="n"/>
      <c r="O225" s="4" t="n"/>
      <c r="P225" s="4" t="n"/>
      <c r="Q225" s="4">
        <f>L225*M225*N225/1000000</f>
        <v/>
      </c>
      <c r="R225" s="4" t="n"/>
      <c r="S225" s="4" t="n"/>
      <c r="T225" s="4" t="n"/>
      <c r="U225" s="4" t="n"/>
      <c r="V225" s="4" t="n"/>
      <c r="W225" s="4" t="n"/>
      <c r="X225" s="4">
        <f>AR225*(W225+35+10)</f>
        <v/>
      </c>
      <c r="Y225" s="4">
        <f>AR225*(W225+35+10+45)</f>
        <v/>
      </c>
      <c r="Z225" s="4">
        <f>AA225+AB225+AC225</f>
        <v/>
      </c>
      <c r="AA225" s="4" t="n"/>
      <c r="AB225" s="4" t="n"/>
      <c r="AC225" s="4" t="n"/>
      <c r="AD225" s="4">
        <f>AA225+AB225</f>
        <v/>
      </c>
      <c r="AE225" s="13">
        <f>IF(AD225&lt;=AT225,"库存不足",IF(AD225&gt;=AT225*1.5,"库存预警","库存正常"))</f>
        <v/>
      </c>
      <c r="AF225" s="4">
        <f>MAX(AT225-AA225-AB225,0)</f>
        <v/>
      </c>
      <c r="AG225" s="4">
        <f>MAX(X225-AD225,0)</f>
        <v/>
      </c>
      <c r="AH225" s="4">
        <f>AF225-AG225</f>
        <v/>
      </c>
      <c r="AI225" s="14">
        <f>AX225+(AA225+AB225)/AR225-60</f>
        <v/>
      </c>
      <c r="AJ225" s="4" t="n"/>
      <c r="AK225" s="15" t="n"/>
      <c r="AL225" s="15" t="n"/>
      <c r="AM225" s="15" t="n"/>
      <c r="AN225" s="15" t="n"/>
      <c r="AO225" s="4">
        <f>ROUND(AK225/7,0)</f>
        <v/>
      </c>
      <c r="AP225" s="4">
        <f>ROUND(AL225/15,0)</f>
        <v/>
      </c>
      <c r="AQ225" s="4">
        <f>ROUND(AM225/30,0)</f>
        <v/>
      </c>
      <c r="AR225" s="4" t="n"/>
      <c r="AS225" s="4" t="n"/>
      <c r="AT225" s="4">
        <f>AR225*(W225+7+30)</f>
        <v/>
      </c>
      <c r="AU225" s="4" t="n"/>
      <c r="AV225" s="4">
        <f>MAX(0,AT225-AD225-AC225)</f>
        <v/>
      </c>
      <c r="AW225" s="4" t="n"/>
      <c r="AX225" s="14">
        <f>TODAY()</f>
        <v/>
      </c>
      <c r="AY225" s="4" t="n"/>
      <c r="AZ225" s="4" t="n"/>
      <c r="BA225" s="16" t="n"/>
      <c r="BB225" s="16" t="n"/>
      <c r="BC225" s="16" t="n"/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>
        <f>K226*1000</f>
        <v/>
      </c>
      <c r="K226" s="4" t="n"/>
      <c r="L226" s="4" t="n"/>
      <c r="M226" s="4" t="n"/>
      <c r="N226" s="4" t="n"/>
      <c r="O226" s="4" t="n"/>
      <c r="P226" s="4" t="n"/>
      <c r="Q226" s="4">
        <f>L226*M226*N226/1000000</f>
        <v/>
      </c>
      <c r="R226" s="4" t="n"/>
      <c r="S226" s="4" t="n"/>
      <c r="T226" s="4" t="n"/>
      <c r="U226" s="4" t="n"/>
      <c r="V226" s="4" t="n"/>
      <c r="W226" s="4" t="n"/>
      <c r="X226" s="4">
        <f>AR226*(W226+30)</f>
        <v/>
      </c>
      <c r="Y226" s="4" t="n"/>
      <c r="Z226" s="4">
        <f>AA226+AB226+AC226</f>
        <v/>
      </c>
      <c r="AA226" s="4" t="n"/>
      <c r="AB226" s="4" t="n"/>
      <c r="AC226" s="4" t="n"/>
      <c r="AD226" s="4">
        <f>AA226+AB226</f>
        <v/>
      </c>
      <c r="AE226" s="13">
        <f>IF(AD226&lt;=AT226,"库存不足",IF(AD226&gt;=AT226*1.5,"库存预警","库存正常"))</f>
        <v/>
      </c>
      <c r="AF226" s="4">
        <f>MAX(AT226-AA226-AB226,0)</f>
        <v/>
      </c>
      <c r="AG226" s="4">
        <f>MAX(X226-AD226,0)</f>
        <v/>
      </c>
      <c r="AH226" s="4">
        <f>AF226-AG226</f>
        <v/>
      </c>
      <c r="AI226" s="14">
        <f>AX226+(AA226+AB226)/AR226-60</f>
        <v/>
      </c>
      <c r="AJ226" s="4" t="n"/>
      <c r="AK226" s="4" t="n"/>
      <c r="AL226" s="4" t="n"/>
      <c r="AM226" s="4" t="n"/>
      <c r="AN226" s="15" t="n"/>
      <c r="AO226" s="4">
        <f>ROUND(AK226/7,0)</f>
        <v/>
      </c>
      <c r="AP226" s="4">
        <f>ROUND(AL226/15,0)</f>
        <v/>
      </c>
      <c r="AQ226" s="4">
        <f>ROUND(AM226/30,0)</f>
        <v/>
      </c>
      <c r="AR226" s="4" t="n"/>
      <c r="AS226" s="4" t="n"/>
      <c r="AT226" s="4">
        <f>AR226*(W226+7+30)</f>
        <v/>
      </c>
      <c r="AU226" s="35" t="n"/>
      <c r="AV226" s="4">
        <f>MAX(0,AT226-AD226-AC226)</f>
        <v/>
      </c>
      <c r="AW226" s="4" t="n"/>
      <c r="AX226" s="14">
        <f>TODAY()</f>
        <v/>
      </c>
      <c r="AY226" s="4" t="n"/>
      <c r="AZ226" s="4" t="n"/>
      <c r="BA226" s="16" t="n"/>
      <c r="BB226" s="16" t="n"/>
      <c r="BC226" s="16" t="n"/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>
        <f>K227*1000</f>
        <v/>
      </c>
      <c r="K227" s="4" t="n"/>
      <c r="L227" s="4" t="n"/>
      <c r="M227" s="4" t="n"/>
      <c r="N227" s="4" t="n"/>
      <c r="O227" s="4" t="n"/>
      <c r="P227" s="4" t="n"/>
      <c r="Q227" s="4">
        <f>L227*M227*N227/1000000</f>
        <v/>
      </c>
      <c r="R227" s="4" t="n"/>
      <c r="S227" s="4" t="n"/>
      <c r="T227" s="4" t="n"/>
      <c r="U227" s="4" t="n"/>
      <c r="V227" s="4" t="n"/>
      <c r="W227" s="4" t="n"/>
      <c r="X227" s="4">
        <f>AR227*(W227+30)</f>
        <v/>
      </c>
      <c r="Y227" s="4" t="n"/>
      <c r="Z227" s="4">
        <f>AA227+AB227+AC227</f>
        <v/>
      </c>
      <c r="AA227" s="4" t="n"/>
      <c r="AB227" s="4" t="n"/>
      <c r="AC227" s="4" t="n"/>
      <c r="AD227" s="4">
        <f>AA227+AB227</f>
        <v/>
      </c>
      <c r="AE227" s="13">
        <f>IF(AD227&lt;=AT227,"库存不足",IF(AD227&gt;=AT227*1.5,"库存预警","库存正常"))</f>
        <v/>
      </c>
      <c r="AF227" s="4">
        <f>MAX(AT227-AA227-AB227,0)</f>
        <v/>
      </c>
      <c r="AG227" s="4">
        <f>MAX(X227-AD227,0)</f>
        <v/>
      </c>
      <c r="AH227" s="4">
        <f>AF227-AG227</f>
        <v/>
      </c>
      <c r="AI227" s="14">
        <f>AX227+(AA227+AB227)/AR227-60</f>
        <v/>
      </c>
      <c r="AJ227" s="4" t="n"/>
      <c r="AK227" s="4" t="n"/>
      <c r="AL227" s="4" t="n"/>
      <c r="AM227" s="4" t="n"/>
      <c r="AN227" s="15" t="n"/>
      <c r="AO227" s="4">
        <f>ROUND(AK227/7,0)</f>
        <v/>
      </c>
      <c r="AP227" s="4">
        <f>ROUND(AL227/15,0)</f>
        <v/>
      </c>
      <c r="AQ227" s="4">
        <f>ROUND(AM227/30,0)</f>
        <v/>
      </c>
      <c r="AR227" s="4" t="n"/>
      <c r="AS227" s="4" t="n"/>
      <c r="AT227" s="4">
        <f>AR227*(W227+7+30)</f>
        <v/>
      </c>
      <c r="AU227" s="35" t="n"/>
      <c r="AV227" s="4">
        <f>MAX(0,AT227-AD227-AC227)</f>
        <v/>
      </c>
      <c r="AW227" s="4" t="n"/>
      <c r="AX227" s="14">
        <f>TODAY()</f>
        <v/>
      </c>
      <c r="AY227" s="4" t="n"/>
      <c r="AZ227" s="4" t="n"/>
      <c r="BA227" s="16" t="n"/>
      <c r="BB227" s="16" t="n"/>
      <c r="BC227" s="16" t="n"/>
    </row>
    <row r="228" ht="14.25" customHeight="1" s="31">
      <c r="A228" s="4" t="n"/>
      <c r="B228" s="4" t="n"/>
      <c r="C228" s="19" t="n"/>
      <c r="D228" s="4" t="n"/>
      <c r="E228" s="4" t="n"/>
      <c r="F228" s="4" t="n"/>
      <c r="G228" s="4" t="n"/>
      <c r="H228" s="4" t="n"/>
      <c r="I228" s="4" t="n"/>
      <c r="J228" s="4">
        <f>K228*1000</f>
        <v/>
      </c>
      <c r="K228" s="4" t="n"/>
      <c r="L228" s="4" t="n"/>
      <c r="M228" s="4" t="n"/>
      <c r="N228" s="4" t="n"/>
      <c r="O228" s="4" t="n"/>
      <c r="P228" s="4" t="n"/>
      <c r="Q228" s="4">
        <f>L228*M228*N228/1000000</f>
        <v/>
      </c>
      <c r="R228" s="4" t="n"/>
      <c r="S228" s="4" t="n"/>
      <c r="T228" s="4" t="n"/>
      <c r="U228" s="4" t="n"/>
      <c r="V228" s="4" t="n"/>
      <c r="W228" s="4" t="n"/>
      <c r="X228" s="4">
        <f>AR228*(W228+35+10)</f>
        <v/>
      </c>
      <c r="Y228" s="4">
        <f>AR228*(W228+35+10+45)</f>
        <v/>
      </c>
      <c r="Z228" s="4">
        <f>AA228+AB228+AC228</f>
        <v/>
      </c>
      <c r="AA228" s="4" t="n"/>
      <c r="AB228" s="4" t="n"/>
      <c r="AC228" s="4" t="n"/>
      <c r="AD228" s="4">
        <f>AA228+AB228</f>
        <v/>
      </c>
      <c r="AE228" s="13">
        <f>IF(AD228&lt;=AT228,"库存不足",IF(AD228&gt;=AT228*1.5,"库存预警","库存正常"))</f>
        <v/>
      </c>
      <c r="AF228" s="4">
        <f>MAX(AT228-AA228-AB228,0)</f>
        <v/>
      </c>
      <c r="AG228" s="4">
        <f>MAX(X228-AD228,0)</f>
        <v/>
      </c>
      <c r="AH228" s="4">
        <f>AF228-AG228</f>
        <v/>
      </c>
      <c r="AI228" s="14">
        <f>AX228+(AA228+AB228)/AR228-60</f>
        <v/>
      </c>
      <c r="AJ228" s="4" t="n"/>
      <c r="AK228" s="4" t="n"/>
      <c r="AL228" s="4" t="n"/>
      <c r="AM228" s="4" t="n"/>
      <c r="AN228" s="15" t="n"/>
      <c r="AO228" s="4">
        <f>ROUND(AK228/7,0)</f>
        <v/>
      </c>
      <c r="AP228" s="4">
        <f>ROUND(AL228/15,0)</f>
        <v/>
      </c>
      <c r="AQ228" s="4">
        <f>ROUND(AM228/30,0)</f>
        <v/>
      </c>
      <c r="AR228" s="4" t="n"/>
      <c r="AS228" s="4" t="n"/>
      <c r="AT228" s="4">
        <f>AR228*(W228+7+30)</f>
        <v/>
      </c>
      <c r="AU228" s="4" t="n"/>
      <c r="AV228" s="4">
        <f>MAX(0,AT228-AD228-AC228)</f>
        <v/>
      </c>
      <c r="AW228" s="4" t="n"/>
      <c r="AX228" s="14">
        <f>TODAY()</f>
        <v/>
      </c>
      <c r="AY228" s="4" t="n"/>
      <c r="AZ228" s="4" t="n"/>
      <c r="BA228" s="16" t="n"/>
      <c r="BB228" s="16" t="n"/>
      <c r="BC228" s="16" t="n"/>
    </row>
    <row r="229" ht="14.25" customHeight="1" s="31">
      <c r="A229" s="4" t="n"/>
      <c r="B229" s="4" t="n"/>
      <c r="C229" s="19" t="n"/>
      <c r="D229" s="4" t="n"/>
      <c r="E229" s="4" t="n"/>
      <c r="F229" s="4" t="n"/>
      <c r="G229" s="4" t="n"/>
      <c r="H229" s="4" t="n"/>
      <c r="I229" s="4" t="n"/>
      <c r="J229" s="4">
        <f>K229*1000</f>
        <v/>
      </c>
      <c r="K229" s="4" t="n"/>
      <c r="L229" s="4" t="n"/>
      <c r="M229" s="4" t="n"/>
      <c r="N229" s="4" t="n"/>
      <c r="O229" s="4" t="n"/>
      <c r="P229" s="4" t="n"/>
      <c r="Q229" s="4">
        <f>L229*M229*N229/1000000</f>
        <v/>
      </c>
      <c r="R229" s="4" t="n"/>
      <c r="S229" s="4" t="n"/>
      <c r="T229" s="4" t="n"/>
      <c r="U229" s="4" t="n"/>
      <c r="V229" s="4" t="n"/>
      <c r="W229" s="4" t="n"/>
      <c r="X229" s="4">
        <f>AR229*(W229+30)</f>
        <v/>
      </c>
      <c r="Y229" s="4" t="n"/>
      <c r="Z229" s="4">
        <f>AA229+AB229+AC229</f>
        <v/>
      </c>
      <c r="AA229" s="4" t="n"/>
      <c r="AB229" s="4" t="n"/>
      <c r="AC229" s="4" t="n"/>
      <c r="AD229" s="4">
        <f>AA229+AB229</f>
        <v/>
      </c>
      <c r="AE229" s="13">
        <f>IF(AD229&lt;=AT229,"库存不足",IF(AD229&gt;=AT229*1.5,"库存预警","库存正常"))</f>
        <v/>
      </c>
      <c r="AF229" s="4">
        <f>MAX(AT229-AA229-AB229,0)</f>
        <v/>
      </c>
      <c r="AG229" s="4">
        <f>MAX(X229-AD229,0)</f>
        <v/>
      </c>
      <c r="AH229" s="4">
        <f>AF229-AG229</f>
        <v/>
      </c>
      <c r="AI229" s="14">
        <f>AX229+(AA229+AB229)/AR229-60</f>
        <v/>
      </c>
      <c r="AJ229" s="4" t="n"/>
      <c r="AK229" s="4" t="n"/>
      <c r="AL229" s="4" t="n"/>
      <c r="AM229" s="4" t="n"/>
      <c r="AN229" s="15" t="n"/>
      <c r="AO229" s="4">
        <f>ROUND(AK229/7,0)</f>
        <v/>
      </c>
      <c r="AP229" s="4">
        <f>ROUND(AL229/15,0)</f>
        <v/>
      </c>
      <c r="AQ229" s="4">
        <f>ROUND(AM229/30,0)</f>
        <v/>
      </c>
      <c r="AR229" s="4" t="n"/>
      <c r="AS229" s="4" t="n"/>
      <c r="AT229" s="4">
        <f>AR229*(W229+7+30)</f>
        <v/>
      </c>
      <c r="AU229" s="35">
        <f>AX229+AD229/AR229</f>
        <v/>
      </c>
      <c r="AV229" s="4">
        <f>MAX(0,AT229-AD229-AC229)</f>
        <v/>
      </c>
      <c r="AW229" s="4" t="n"/>
      <c r="AX229" s="14">
        <f>TODAY()</f>
        <v/>
      </c>
      <c r="AY229" s="4" t="n"/>
      <c r="AZ229" s="4" t="n"/>
      <c r="BA229" s="16" t="n"/>
      <c r="BB229" s="16" t="n"/>
      <c r="BC229" s="16" t="n"/>
    </row>
    <row r="230" ht="14.25" customHeight="1" s="31">
      <c r="A230" s="4" t="n"/>
      <c r="B230" s="4" t="n"/>
      <c r="C230" s="19" t="n"/>
      <c r="D230" s="4" t="n"/>
      <c r="E230" s="4" t="n"/>
      <c r="F230" s="4" t="n"/>
      <c r="G230" s="4" t="n"/>
      <c r="H230" s="4" t="n"/>
      <c r="I230" s="4" t="n"/>
      <c r="J230" s="4">
        <f>K230*1000</f>
        <v/>
      </c>
      <c r="K230" s="4" t="n"/>
      <c r="L230" s="4" t="n"/>
      <c r="M230" s="4" t="n"/>
      <c r="N230" s="4" t="n"/>
      <c r="O230" s="4" t="n"/>
      <c r="P230" s="4" t="n"/>
      <c r="Q230" s="4">
        <f>L230*M230*N230/1000000</f>
        <v/>
      </c>
      <c r="R230" s="4" t="n"/>
      <c r="S230" s="4" t="n"/>
      <c r="T230" s="4" t="n"/>
      <c r="U230" s="4" t="n"/>
      <c r="V230" s="4" t="n"/>
      <c r="W230" s="4" t="n"/>
      <c r="X230" s="4">
        <f>AR230*(W230+35+10)</f>
        <v/>
      </c>
      <c r="Y230" s="4">
        <f>AR230*(W230+35+10+45)</f>
        <v/>
      </c>
      <c r="Z230" s="4">
        <f>AA230+AB230+AC230</f>
        <v/>
      </c>
      <c r="AA230" s="4" t="n"/>
      <c r="AB230" s="4" t="n"/>
      <c r="AC230" s="4" t="n"/>
      <c r="AD230" s="4">
        <f>AA230+AB230</f>
        <v/>
      </c>
      <c r="AE230" s="13">
        <f>IF(AD230&lt;=AT230,"库存不足",IF(AD230&gt;=AT230*1.5,"库存预警","库存正常"))</f>
        <v/>
      </c>
      <c r="AF230" s="4">
        <f>MAX(AT230-AA230-AB230,0)</f>
        <v/>
      </c>
      <c r="AG230" s="4">
        <f>MAX(X230-AD230,0)</f>
        <v/>
      </c>
      <c r="AH230" s="4">
        <f>AF230-AG230</f>
        <v/>
      </c>
      <c r="AI230" s="14">
        <f>AX230+(AA230+AB230)/AR230-60</f>
        <v/>
      </c>
      <c r="AJ230" s="4" t="n"/>
      <c r="AK230" s="4" t="n"/>
      <c r="AL230" s="4" t="n"/>
      <c r="AM230" s="4" t="n"/>
      <c r="AN230" s="15" t="n"/>
      <c r="AO230" s="4">
        <f>ROUND(AK230/7,0)</f>
        <v/>
      </c>
      <c r="AP230" s="4">
        <f>ROUND(AL230/15,0)</f>
        <v/>
      </c>
      <c r="AQ230" s="4">
        <f>ROUND(AM230/30,0)</f>
        <v/>
      </c>
      <c r="AR230" s="4" t="n"/>
      <c r="AS230" s="4" t="n"/>
      <c r="AT230" s="4">
        <f>AR230*(W230+7+30)</f>
        <v/>
      </c>
      <c r="AU230" s="4" t="n"/>
      <c r="AV230" s="4">
        <f>MAX(0,AT230-AD230-AC230)</f>
        <v/>
      </c>
      <c r="AW230" s="4" t="n"/>
      <c r="AX230" s="14">
        <f>TODAY()</f>
        <v/>
      </c>
      <c r="AY230" s="4" t="n"/>
      <c r="AZ230" s="4" t="n"/>
      <c r="BA230" s="16" t="n"/>
      <c r="BB230" s="16" t="n"/>
      <c r="BC230" s="16" t="n"/>
    </row>
    <row r="231" ht="14.25" customHeight="1" s="31">
      <c r="A231" s="4" t="n"/>
      <c r="B231" s="4" t="n"/>
      <c r="C231" s="19" t="n"/>
      <c r="D231" s="4" t="n"/>
      <c r="E231" s="4" t="n"/>
      <c r="F231" s="4" t="n"/>
      <c r="G231" s="4" t="n"/>
      <c r="H231" s="4" t="n"/>
      <c r="I231" s="4" t="n"/>
      <c r="J231" s="4">
        <f>K231*1000</f>
        <v/>
      </c>
      <c r="K231" s="4" t="n"/>
      <c r="L231" s="4" t="n"/>
      <c r="M231" s="4" t="n"/>
      <c r="N231" s="4" t="n"/>
      <c r="O231" s="4" t="n"/>
      <c r="P231" s="4" t="n"/>
      <c r="Q231" s="4">
        <f>L231*M231*N231/1000000</f>
        <v/>
      </c>
      <c r="R231" s="4" t="n"/>
      <c r="S231" s="4" t="n"/>
      <c r="T231" s="4" t="n"/>
      <c r="U231" s="4" t="n"/>
      <c r="V231" s="4" t="n"/>
      <c r="W231" s="4" t="n"/>
      <c r="X231" s="4">
        <f>AR231*(W231+30)</f>
        <v/>
      </c>
      <c r="Y231" s="4" t="n"/>
      <c r="Z231" s="4">
        <f>AA231+AB231+AC231</f>
        <v/>
      </c>
      <c r="AA231" s="4" t="n"/>
      <c r="AB231" s="4" t="n"/>
      <c r="AC231" s="4" t="n"/>
      <c r="AD231" s="4">
        <f>AA231+AB231</f>
        <v/>
      </c>
      <c r="AE231" s="13">
        <f>IF(AD231&lt;=AT231,"库存不足",IF(AD231&gt;=AT231*1.5,"库存预警","库存正常"))</f>
        <v/>
      </c>
      <c r="AF231" s="4">
        <f>MAX(AT231-AA231-AB231,0)</f>
        <v/>
      </c>
      <c r="AG231" s="4">
        <f>MAX(X231-AD231,0)</f>
        <v/>
      </c>
      <c r="AH231" s="4">
        <f>AF231-AG231</f>
        <v/>
      </c>
      <c r="AI231" s="14">
        <f>AX231+(AA231+AB231)/AR231-60</f>
        <v/>
      </c>
      <c r="AJ231" s="4" t="n"/>
      <c r="AK231" s="4" t="n"/>
      <c r="AL231" s="4" t="n"/>
      <c r="AM231" s="4" t="n"/>
      <c r="AN231" s="15" t="n"/>
      <c r="AO231" s="4">
        <f>ROUND(AK231/7,0)</f>
        <v/>
      </c>
      <c r="AP231" s="4">
        <f>ROUND(AL231/15,0)</f>
        <v/>
      </c>
      <c r="AQ231" s="4">
        <f>ROUND(AM231/30,0)</f>
        <v/>
      </c>
      <c r="AR231" s="4" t="n"/>
      <c r="AS231" s="4" t="n"/>
      <c r="AT231" s="4">
        <f>AR231*(W231+7+30)</f>
        <v/>
      </c>
      <c r="AU231" s="35">
        <f>AX231+AD231/AR231</f>
        <v/>
      </c>
      <c r="AV231" s="4">
        <f>MAX(0,AT231-AD231-AC231)</f>
        <v/>
      </c>
      <c r="AW231" s="4" t="n"/>
      <c r="AX231" s="14">
        <f>TODAY()</f>
        <v/>
      </c>
      <c r="AY231" s="4" t="n"/>
      <c r="AZ231" s="4" t="n"/>
      <c r="BA231" s="16" t="n"/>
      <c r="BB231" s="16" t="n"/>
      <c r="BC231" s="16" t="n"/>
    </row>
    <row r="232" ht="14.25" customHeight="1" s="31">
      <c r="A232" s="4" t="n"/>
      <c r="B232" s="4" t="n"/>
      <c r="C232" s="19" t="n"/>
      <c r="D232" s="4" t="n"/>
      <c r="E232" s="4" t="n"/>
      <c r="F232" s="4" t="n"/>
      <c r="G232" s="4" t="n"/>
      <c r="H232" s="4" t="n"/>
      <c r="I232" s="4" t="n"/>
      <c r="J232" s="4">
        <f>K232*1000</f>
        <v/>
      </c>
      <c r="K232" s="4" t="n"/>
      <c r="L232" s="4" t="n"/>
      <c r="M232" s="4" t="n"/>
      <c r="N232" s="4" t="n"/>
      <c r="O232" s="4" t="n"/>
      <c r="P232" s="4" t="n"/>
      <c r="Q232" s="4">
        <f>L232*M232*N232/1000000</f>
        <v/>
      </c>
      <c r="R232" s="4" t="n"/>
      <c r="S232" s="4" t="n"/>
      <c r="T232" s="4" t="n"/>
      <c r="U232" s="4" t="n"/>
      <c r="V232" s="4" t="n"/>
      <c r="W232" s="4" t="n"/>
      <c r="X232" s="4">
        <f>AR232*(W232+35+10)</f>
        <v/>
      </c>
      <c r="Y232" s="4">
        <f>AR232*(W232+35+10+45)</f>
        <v/>
      </c>
      <c r="Z232" s="4">
        <f>AA232+AB232+AC232</f>
        <v/>
      </c>
      <c r="AA232" s="4" t="n"/>
      <c r="AB232" s="4" t="n"/>
      <c r="AC232" s="4" t="n"/>
      <c r="AD232" s="4">
        <f>AA232+AB232</f>
        <v/>
      </c>
      <c r="AE232" s="13">
        <f>IF(AD232&lt;=AT232,"库存不足",IF(AD232&gt;=AT232*1.5,"库存预警","库存正常"))</f>
        <v/>
      </c>
      <c r="AF232" s="4">
        <f>MAX(AT232-AA232-AB232,0)</f>
        <v/>
      </c>
      <c r="AG232" s="4">
        <f>MAX(X232-AD232,0)</f>
        <v/>
      </c>
      <c r="AH232" s="4">
        <f>AF232-AG232</f>
        <v/>
      </c>
      <c r="AI232" s="14">
        <f>AX232+(AA232+AB232)/AR232-60</f>
        <v/>
      </c>
      <c r="AJ232" s="4" t="n"/>
      <c r="AK232" s="4" t="n"/>
      <c r="AL232" s="4" t="n"/>
      <c r="AM232" s="4" t="n"/>
      <c r="AN232" s="15" t="n"/>
      <c r="AO232" s="4">
        <f>ROUND(AK232/7,0)</f>
        <v/>
      </c>
      <c r="AP232" s="4">
        <f>ROUND(AL232/15,0)</f>
        <v/>
      </c>
      <c r="AQ232" s="4">
        <f>ROUND(AM232/30,0)</f>
        <v/>
      </c>
      <c r="AR232" s="4" t="n"/>
      <c r="AS232" s="4" t="n"/>
      <c r="AT232" s="4">
        <f>AR232*(W232+7+30)</f>
        <v/>
      </c>
      <c r="AU232" s="4" t="n"/>
      <c r="AV232" s="4">
        <f>MAX(0,AT232-AD232-AC232)</f>
        <v/>
      </c>
      <c r="AW232" s="4" t="n"/>
      <c r="AX232" s="14">
        <f>TODAY()</f>
        <v/>
      </c>
      <c r="AY232" s="4" t="n"/>
      <c r="AZ232" s="4" t="n"/>
      <c r="BA232" s="16" t="n"/>
      <c r="BB232" s="16" t="n"/>
      <c r="BC232" s="16" t="n"/>
    </row>
    <row r="233" ht="14.25" customHeight="1" s="31">
      <c r="A233" s="4" t="n"/>
      <c r="B233" s="4" t="n"/>
      <c r="C233" s="19" t="n"/>
      <c r="D233" s="4" t="n"/>
      <c r="E233" s="4" t="n"/>
      <c r="F233" s="4" t="n"/>
      <c r="G233" s="4" t="n"/>
      <c r="H233" s="4" t="n"/>
      <c r="I233" s="4" t="n"/>
      <c r="J233" s="4">
        <f>K233*1000</f>
        <v/>
      </c>
      <c r="K233" s="4" t="n"/>
      <c r="L233" s="4" t="n"/>
      <c r="M233" s="4" t="n"/>
      <c r="N233" s="4" t="n"/>
      <c r="O233" s="4" t="n"/>
      <c r="P233" s="4" t="n"/>
      <c r="Q233" s="4">
        <f>L233*M233*N233/1000000</f>
        <v/>
      </c>
      <c r="R233" s="4" t="n"/>
      <c r="S233" s="4" t="n"/>
      <c r="T233" s="4" t="n"/>
      <c r="U233" s="4" t="n"/>
      <c r="V233" s="4" t="n"/>
      <c r="W233" s="4" t="n"/>
      <c r="X233" s="4">
        <f>AR233*(W233+35+10)</f>
        <v/>
      </c>
      <c r="Y233" s="4">
        <f>AR233*(W233+35+10+45)</f>
        <v/>
      </c>
      <c r="Z233" s="4">
        <f>AA233+AB233+AC233</f>
        <v/>
      </c>
      <c r="AA233" s="4" t="n"/>
      <c r="AB233" s="4" t="n"/>
      <c r="AC233" s="4" t="n"/>
      <c r="AD233" s="4">
        <f>AA233+AB233</f>
        <v/>
      </c>
      <c r="AE233" s="13">
        <f>IF(AD233&lt;=AT233,"库存不足",IF(AD233&gt;=AT233*1.5,"库存预警","库存正常"))</f>
        <v/>
      </c>
      <c r="AF233" s="4">
        <f>MAX(AT233-AA233-AB233,0)</f>
        <v/>
      </c>
      <c r="AG233" s="4">
        <f>MAX(X233-AD233,0)</f>
        <v/>
      </c>
      <c r="AH233" s="4">
        <f>AF233-AG233</f>
        <v/>
      </c>
      <c r="AI233" s="14">
        <f>AX233+(AA233+AB233)/AR233-60</f>
        <v/>
      </c>
      <c r="AJ233" s="4" t="n"/>
      <c r="AK233" s="4" t="n"/>
      <c r="AL233" s="4" t="n"/>
      <c r="AM233" s="4" t="n"/>
      <c r="AN233" s="15" t="n"/>
      <c r="AO233" s="4">
        <f>ROUND(AK233/7,0)</f>
        <v/>
      </c>
      <c r="AP233" s="4">
        <f>ROUND(AL233/15,0)</f>
        <v/>
      </c>
      <c r="AQ233" s="4">
        <f>ROUND(AM233/30,0)</f>
        <v/>
      </c>
      <c r="AR233" s="4" t="n"/>
      <c r="AS233" s="4" t="n"/>
      <c r="AT233" s="4">
        <f>AR233*(W233+7+30)</f>
        <v/>
      </c>
      <c r="AU233" s="4" t="n"/>
      <c r="AV233" s="4">
        <f>MAX(0,AT233-AD233-AC233)</f>
        <v/>
      </c>
      <c r="AW233" s="4" t="n"/>
      <c r="AX233" s="14">
        <f>TODAY()</f>
        <v/>
      </c>
      <c r="AY233" s="4" t="n"/>
      <c r="AZ233" s="4" t="n"/>
      <c r="BA233" s="16" t="n"/>
      <c r="BB233" s="16" t="n"/>
      <c r="BC233" s="16" t="n"/>
    </row>
    <row r="234" ht="14.25" customHeight="1" s="31">
      <c r="A234" s="4" t="n"/>
      <c r="B234" s="4" t="n"/>
      <c r="C234" s="19" t="n"/>
      <c r="D234" s="4" t="n"/>
      <c r="E234" s="4" t="n"/>
      <c r="F234" s="4" t="n"/>
      <c r="G234" s="4" t="n"/>
      <c r="H234" s="4" t="n"/>
      <c r="I234" s="4" t="n"/>
      <c r="J234" s="4">
        <f>K234*1000</f>
        <v/>
      </c>
      <c r="K234" s="4" t="n"/>
      <c r="L234" s="4" t="n"/>
      <c r="M234" s="4" t="n"/>
      <c r="N234" s="4" t="n"/>
      <c r="O234" s="4" t="n"/>
      <c r="P234" s="4" t="n"/>
      <c r="Q234" s="4">
        <f>L234*M234*N234/1000000</f>
        <v/>
      </c>
      <c r="R234" s="4" t="n"/>
      <c r="S234" s="4" t="n"/>
      <c r="T234" s="4" t="n"/>
      <c r="U234" s="4" t="n"/>
      <c r="V234" s="4" t="n"/>
      <c r="W234" s="4" t="n"/>
      <c r="X234" s="4">
        <f>AR234*(W234+35+10)</f>
        <v/>
      </c>
      <c r="Y234" s="4">
        <f>AR234*(W234+35+10+45)</f>
        <v/>
      </c>
      <c r="Z234" s="4">
        <f>AA234+AB234+AC234</f>
        <v/>
      </c>
      <c r="AA234" s="4" t="n"/>
      <c r="AB234" s="4" t="n"/>
      <c r="AC234" s="4" t="n"/>
      <c r="AD234" s="4">
        <f>AA234+AB234</f>
        <v/>
      </c>
      <c r="AE234" s="13">
        <f>IF(AD234&lt;=AT234,"库存不足",IF(AD234&gt;=AT234*1.5,"库存预警","库存正常"))</f>
        <v/>
      </c>
      <c r="AF234" s="4">
        <f>MAX(AT234-AA234-AB234,0)</f>
        <v/>
      </c>
      <c r="AG234" s="4">
        <f>MAX(X234-AD234,0)</f>
        <v/>
      </c>
      <c r="AH234" s="4">
        <f>AF234-AG234</f>
        <v/>
      </c>
      <c r="AI234" s="14">
        <f>AX234+(AA234+AB234)/AR234-60</f>
        <v/>
      </c>
      <c r="AJ234" s="4" t="n"/>
      <c r="AK234" s="15" t="n"/>
      <c r="AL234" s="15" t="n"/>
      <c r="AM234" s="15" t="n"/>
      <c r="AN234" s="15" t="n"/>
      <c r="AO234" s="4">
        <f>ROUND(AK234/7,0)</f>
        <v/>
      </c>
      <c r="AP234" s="4">
        <f>ROUND(AL234/15,0)</f>
        <v/>
      </c>
      <c r="AQ234" s="4">
        <f>ROUND(AM234/30,0)</f>
        <v/>
      </c>
      <c r="AR234" s="4" t="n"/>
      <c r="AS234" s="4" t="n"/>
      <c r="AT234" s="4">
        <f>AR234*(W234+7+30)</f>
        <v/>
      </c>
      <c r="AU234" s="4" t="n"/>
      <c r="AV234" s="4">
        <f>MAX(0,AT234-AD234-AC234)</f>
        <v/>
      </c>
      <c r="AW234" s="4" t="n"/>
      <c r="AX234" s="14">
        <f>TODAY()</f>
        <v/>
      </c>
      <c r="AY234" s="4" t="n"/>
      <c r="AZ234" s="4" t="n"/>
      <c r="BA234" s="16" t="n"/>
      <c r="BB234" s="16" t="n"/>
      <c r="BC234" s="16" t="n"/>
    </row>
    <row r="235" ht="14.25" customHeight="1" s="31">
      <c r="A235" s="4" t="n"/>
      <c r="B235" s="4" t="n"/>
      <c r="C235" s="19" t="n"/>
      <c r="D235" s="4" t="n"/>
      <c r="E235" s="4" t="n"/>
      <c r="F235" s="4" t="n"/>
      <c r="G235" s="4" t="n"/>
      <c r="H235" s="4" t="n"/>
      <c r="I235" s="4" t="n"/>
      <c r="J235" s="4">
        <f>K235*1000</f>
        <v/>
      </c>
      <c r="K235" s="4" t="n"/>
      <c r="L235" s="4" t="n"/>
      <c r="M235" s="4" t="n"/>
      <c r="N235" s="4" t="n"/>
      <c r="O235" s="4" t="n"/>
      <c r="P235" s="4" t="n"/>
      <c r="Q235" s="4">
        <f>L235*M235*N235/1000000</f>
        <v/>
      </c>
      <c r="R235" s="4" t="n"/>
      <c r="S235" s="4" t="n"/>
      <c r="T235" s="4" t="n"/>
      <c r="U235" s="4" t="n"/>
      <c r="V235" s="4" t="n"/>
      <c r="W235" s="4" t="n"/>
      <c r="X235" s="4">
        <f>AR235*(W235+35+10)</f>
        <v/>
      </c>
      <c r="Y235" s="4">
        <f>AR235*(W235+35+10+45)</f>
        <v/>
      </c>
      <c r="Z235" s="4">
        <f>AA235+AB235+AC235</f>
        <v/>
      </c>
      <c r="AA235" s="4" t="n"/>
      <c r="AB235" s="4" t="n"/>
      <c r="AC235" s="4" t="n"/>
      <c r="AD235" s="4">
        <f>AA235+AB235</f>
        <v/>
      </c>
      <c r="AE235" s="13">
        <f>IF(AD235&lt;=AT235,"库存不足",IF(AD235&gt;=AT235*1.5,"库存预警","库存正常"))</f>
        <v/>
      </c>
      <c r="AF235" s="4">
        <f>MAX(AT235-AA235-AB235,0)</f>
        <v/>
      </c>
      <c r="AG235" s="4">
        <f>MAX(X235-AD235,0)</f>
        <v/>
      </c>
      <c r="AH235" s="4">
        <f>AF235-AG235</f>
        <v/>
      </c>
      <c r="AI235" s="14">
        <f>AX235+(AA235+AB235)/AR235-60</f>
        <v/>
      </c>
      <c r="AJ235" s="4" t="n"/>
      <c r="AK235" s="15" t="n"/>
      <c r="AL235" s="15" t="n"/>
      <c r="AM235" s="15" t="n"/>
      <c r="AN235" s="15" t="n"/>
      <c r="AO235" s="4">
        <f>ROUND(AK235/7,0)</f>
        <v/>
      </c>
      <c r="AP235" s="4">
        <f>ROUND(AL235/15,0)</f>
        <v/>
      </c>
      <c r="AQ235" s="4">
        <f>ROUND(AM235/30,0)</f>
        <v/>
      </c>
      <c r="AR235" s="4" t="n"/>
      <c r="AS235" s="4" t="n"/>
      <c r="AT235" s="4">
        <f>AR235*(W235+7+30)</f>
        <v/>
      </c>
      <c r="AU235" s="4" t="n"/>
      <c r="AV235" s="4">
        <f>MAX(0,AT235-AD235-AC235)</f>
        <v/>
      </c>
      <c r="AW235" s="4" t="n"/>
      <c r="AX235" s="14">
        <f>TODAY()</f>
        <v/>
      </c>
      <c r="AY235" s="4" t="n"/>
      <c r="AZ235" s="4" t="n"/>
      <c r="BA235" s="16" t="n"/>
      <c r="BB235" s="16" t="n"/>
      <c r="BC235" s="16" t="n"/>
    </row>
    <row r="236" ht="14.25" customHeight="1" s="31">
      <c r="A236" s="4" t="n"/>
      <c r="B236" s="4" t="n"/>
      <c r="C236" s="4" t="n"/>
      <c r="D236" s="4" t="n"/>
      <c r="E236" s="19" t="n"/>
      <c r="F236" s="4" t="n"/>
      <c r="G236" s="4" t="n"/>
      <c r="H236" s="4" t="n"/>
      <c r="I236" s="4" t="n"/>
      <c r="J236" s="4">
        <f>K236*1000</f>
        <v/>
      </c>
      <c r="K236" s="4" t="n"/>
      <c r="L236" s="4" t="n"/>
      <c r="M236" s="4" t="n"/>
      <c r="N236" s="4" t="n"/>
      <c r="O236" s="4" t="n"/>
      <c r="P236" s="4" t="n"/>
      <c r="Q236" s="4">
        <f>L236*M236*N236/1000000</f>
        <v/>
      </c>
      <c r="R236" s="4" t="n"/>
      <c r="S236" s="4" t="n"/>
      <c r="T236" s="4" t="n"/>
      <c r="U236" s="4" t="n"/>
      <c r="V236" s="4" t="n"/>
      <c r="W236" s="4" t="n"/>
      <c r="X236" s="4">
        <f>AR236*(W236+35+10)</f>
        <v/>
      </c>
      <c r="Y236" s="4">
        <f>AR236*(W236+35+10+45)</f>
        <v/>
      </c>
      <c r="Z236" s="4">
        <f>AA236+AB236+AC236</f>
        <v/>
      </c>
      <c r="AA236" s="4" t="n"/>
      <c r="AB236" s="4" t="n"/>
      <c r="AC236" s="4" t="n"/>
      <c r="AD236" s="4">
        <f>AA236+AB236</f>
        <v/>
      </c>
      <c r="AE236" s="13">
        <f>IF(AD236&lt;=AT236,"库存不足",IF(AD236&gt;=AT236*1.5,"库存预警","库存正常"))</f>
        <v/>
      </c>
      <c r="AF236" s="4">
        <f>MAX(AT236-AA236-AB236,0)</f>
        <v/>
      </c>
      <c r="AG236" s="4">
        <f>MAX(X236-AD236,0)</f>
        <v/>
      </c>
      <c r="AH236" s="4">
        <f>AF236-AG236</f>
        <v/>
      </c>
      <c r="AI236" s="14">
        <f>AX236+(AA236+AB236)/AR236-60</f>
        <v/>
      </c>
      <c r="AJ236" s="4" t="n"/>
      <c r="AK236" s="15" t="n"/>
      <c r="AL236" s="15" t="n"/>
      <c r="AM236" s="15" t="n"/>
      <c r="AN236" s="15" t="n"/>
      <c r="AO236" s="4">
        <f>ROUND(AK236/7,0)</f>
        <v/>
      </c>
      <c r="AP236" s="4">
        <f>ROUND(AL236/15,0)</f>
        <v/>
      </c>
      <c r="AQ236" s="4">
        <f>ROUND(AM236/30,0)</f>
        <v/>
      </c>
      <c r="AR236" s="4" t="n"/>
      <c r="AS236" s="4" t="n"/>
      <c r="AT236" s="4">
        <f>AR236*(W236+7+30)</f>
        <v/>
      </c>
      <c r="AU236" s="4" t="n"/>
      <c r="AV236" s="4">
        <f>MAX(0,AT236-AD236-AC236)</f>
        <v/>
      </c>
      <c r="AW236" s="4" t="n"/>
      <c r="AX236" s="14">
        <f>TODAY()</f>
        <v/>
      </c>
      <c r="AY236" s="4" t="n"/>
      <c r="AZ236" s="4" t="n"/>
      <c r="BA236" s="16" t="n"/>
      <c r="BB236" s="16" t="n"/>
      <c r="BC236" s="16" t="n"/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>
        <f>K237*1000</f>
        <v/>
      </c>
      <c r="K237" s="4" t="n"/>
      <c r="L237" s="4" t="n"/>
      <c r="M237" s="4" t="n"/>
      <c r="N237" s="4" t="n"/>
      <c r="O237" s="4" t="n"/>
      <c r="P237" s="4" t="n"/>
      <c r="Q237" s="4">
        <f>L237*M237*N237/1000000</f>
        <v/>
      </c>
      <c r="R237" s="4" t="n"/>
      <c r="S237" s="4" t="n"/>
      <c r="T237" s="4" t="n"/>
      <c r="U237" s="4" t="n"/>
      <c r="V237" s="4" t="n"/>
      <c r="W237" s="4" t="n"/>
      <c r="X237" s="4">
        <f>AR237*(W237+35+10)</f>
        <v/>
      </c>
      <c r="Y237" s="4">
        <f>AR237*(W237+35+10+45)</f>
        <v/>
      </c>
      <c r="Z237" s="4">
        <f>AA237+AB237+AC237</f>
        <v/>
      </c>
      <c r="AA237" s="4" t="n"/>
      <c r="AB237" s="4" t="n"/>
      <c r="AC237" s="4" t="n"/>
      <c r="AD237" s="4">
        <f>AA237+AB237</f>
        <v/>
      </c>
      <c r="AE237" s="13">
        <f>IF(AD237&lt;=AT237,"库存不足",IF(AD237&gt;=AT237*1.5,"库存预警","库存正常"))</f>
        <v/>
      </c>
      <c r="AF237" s="4">
        <f>MAX(AT237-AA237-AB237,0)</f>
        <v/>
      </c>
      <c r="AG237" s="4">
        <f>MAX(X237-AD237,0)</f>
        <v/>
      </c>
      <c r="AH237" s="4">
        <f>AF237-AG237</f>
        <v/>
      </c>
      <c r="AI237" s="14">
        <f>AX237+(AA237+AB237)/AR237-60</f>
        <v/>
      </c>
      <c r="AJ237" s="4" t="n"/>
      <c r="AK237" s="4" t="n"/>
      <c r="AL237" s="4" t="n"/>
      <c r="AM237" s="4" t="n"/>
      <c r="AN237" s="15" t="n"/>
      <c r="AO237" s="4">
        <f>ROUND(AK237/7,0)</f>
        <v/>
      </c>
      <c r="AP237" s="4">
        <f>ROUND(AL237/15,0)</f>
        <v/>
      </c>
      <c r="AQ237" s="4">
        <f>ROUND(AM237/30,0)</f>
        <v/>
      </c>
      <c r="AR237" s="4" t="n"/>
      <c r="AS237" s="4" t="n"/>
      <c r="AT237" s="4">
        <f>AR237*(W237+7+30)</f>
        <v/>
      </c>
      <c r="AU237" s="4" t="n"/>
      <c r="AV237" s="4">
        <f>MAX(0,AT237-AD237-AC237)</f>
        <v/>
      </c>
      <c r="AW237" s="4" t="n"/>
      <c r="AX237" s="14">
        <f>TODAY()</f>
        <v/>
      </c>
      <c r="AY237" s="4" t="n"/>
      <c r="AZ237" s="4" t="n"/>
      <c r="BA237" s="16" t="n"/>
      <c r="BB237" s="16" t="n"/>
      <c r="BC237" s="16" t="n"/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>
        <f>K238*1000</f>
        <v/>
      </c>
      <c r="K238" s="4" t="n"/>
      <c r="L238" s="4" t="n"/>
      <c r="M238" s="4" t="n"/>
      <c r="N238" s="4" t="n"/>
      <c r="O238" s="4" t="n"/>
      <c r="P238" s="4" t="n"/>
      <c r="Q238" s="4">
        <f>L238*M238*N238/1000000</f>
        <v/>
      </c>
      <c r="R238" s="4" t="n"/>
      <c r="S238" s="4" t="n"/>
      <c r="T238" s="4" t="n"/>
      <c r="U238" s="4" t="n"/>
      <c r="V238" s="4" t="n"/>
      <c r="W238" s="4" t="n"/>
      <c r="X238" s="4">
        <f>AR238*(W238+35+10)</f>
        <v/>
      </c>
      <c r="Y238" s="4">
        <f>AR238*(W238+35+10+45)</f>
        <v/>
      </c>
      <c r="Z238" s="4">
        <f>AA238+AB238+AC238</f>
        <v/>
      </c>
      <c r="AA238" s="4" t="n"/>
      <c r="AB238" s="4" t="n"/>
      <c r="AC238" s="4" t="n"/>
      <c r="AD238" s="4">
        <f>AA238+AB238</f>
        <v/>
      </c>
      <c r="AE238" s="13">
        <f>IF(AD238&lt;=AT238,"库存不足",IF(AD238&gt;=AT238*1.5,"库存预警","库存正常"))</f>
        <v/>
      </c>
      <c r="AF238" s="4">
        <f>MAX(AT238-AA238-AB238,0)</f>
        <v/>
      </c>
      <c r="AG238" s="4">
        <f>MAX(X238-AD238,0)</f>
        <v/>
      </c>
      <c r="AH238" s="4">
        <f>AF238-AG238</f>
        <v/>
      </c>
      <c r="AI238" s="14">
        <f>AX238+(AA238+AB238)/AR238-60</f>
        <v/>
      </c>
      <c r="AJ238" s="4" t="n"/>
      <c r="AK238" s="15" t="n"/>
      <c r="AL238" s="15" t="n"/>
      <c r="AM238" s="15" t="n"/>
      <c r="AN238" s="15" t="n"/>
      <c r="AO238" s="4">
        <f>ROUND(AK238/7,0)</f>
        <v/>
      </c>
      <c r="AP238" s="4">
        <f>ROUND(AL238/15,0)</f>
        <v/>
      </c>
      <c r="AQ238" s="4">
        <f>ROUND(AM238/30,0)</f>
        <v/>
      </c>
      <c r="AR238" s="4" t="n"/>
      <c r="AS238" s="4" t="n"/>
      <c r="AT238" s="4">
        <f>AR238*(W238+7+30)</f>
        <v/>
      </c>
      <c r="AU238" s="4" t="n"/>
      <c r="AV238" s="4">
        <f>MAX(0,AT238-AD238-AC238)</f>
        <v/>
      </c>
      <c r="AW238" s="4" t="n"/>
      <c r="AX238" s="14">
        <f>TODAY()</f>
        <v/>
      </c>
      <c r="AY238" s="4" t="n"/>
      <c r="AZ238" s="4" t="n"/>
      <c r="BA238" s="16" t="n"/>
      <c r="BB238" s="16" t="n"/>
      <c r="BC238" s="16" t="n"/>
    </row>
    <row r="239" ht="14.25" customHeight="1" s="31">
      <c r="A239" s="4" t="n"/>
      <c r="B239" s="4" t="n"/>
      <c r="C239" s="4" t="n"/>
      <c r="D239" s="4" t="n"/>
      <c r="E239" s="19" t="n"/>
      <c r="F239" s="4" t="n"/>
      <c r="G239" s="4" t="n"/>
      <c r="H239" s="4" t="n"/>
      <c r="I239" s="4" t="n"/>
      <c r="J239" s="4">
        <f>K239*1000</f>
        <v/>
      </c>
      <c r="K239" s="4" t="n"/>
      <c r="L239" s="4" t="n"/>
      <c r="M239" s="4" t="n"/>
      <c r="N239" s="4" t="n"/>
      <c r="O239" s="4" t="n"/>
      <c r="P239" s="4" t="n"/>
      <c r="Q239" s="4">
        <f>L239*M239*N239/1000000</f>
        <v/>
      </c>
      <c r="R239" s="4" t="n"/>
      <c r="S239" s="4" t="n"/>
      <c r="T239" s="4" t="n"/>
      <c r="U239" s="4" t="n"/>
      <c r="V239" s="4" t="n"/>
      <c r="W239" s="4" t="n"/>
      <c r="X239" s="4">
        <f>AR239*(W239+35+10)</f>
        <v/>
      </c>
      <c r="Y239" s="4">
        <f>AR239*(W239+35+10+45)</f>
        <v/>
      </c>
      <c r="Z239" s="4">
        <f>AA239+AB239+AC239</f>
        <v/>
      </c>
      <c r="AA239" s="4" t="n"/>
      <c r="AB239" s="4" t="n"/>
      <c r="AC239" s="4" t="n"/>
      <c r="AD239" s="4">
        <f>AA239+AB239</f>
        <v/>
      </c>
      <c r="AE239" s="13">
        <f>IF(AD239&lt;=AT239,"库存不足",IF(AD239&gt;=AT239*1.5,"库存预警","库存正常"))</f>
        <v/>
      </c>
      <c r="AF239" s="4">
        <f>MAX(AT239-AA239-AB239,0)</f>
        <v/>
      </c>
      <c r="AG239" s="4">
        <f>MAX(X239-AD239,0)</f>
        <v/>
      </c>
      <c r="AH239" s="4">
        <f>AF239-AG239</f>
        <v/>
      </c>
      <c r="AI239" s="14">
        <f>AX239+(AA239+AB239)/AR239-60</f>
        <v/>
      </c>
      <c r="AJ239" s="4" t="n"/>
      <c r="AK239" s="15" t="n"/>
      <c r="AL239" s="15" t="n"/>
      <c r="AM239" s="15" t="n"/>
      <c r="AN239" s="15" t="n"/>
      <c r="AO239" s="4">
        <f>ROUND(AK239/7,0)</f>
        <v/>
      </c>
      <c r="AP239" s="4">
        <f>ROUND(AL239/15,0)</f>
        <v/>
      </c>
      <c r="AQ239" s="4">
        <f>ROUND(AM239/30,0)</f>
        <v/>
      </c>
      <c r="AR239" s="4" t="n"/>
      <c r="AS239" s="4" t="n"/>
      <c r="AT239" s="4">
        <f>AR239*(W239+7+30)</f>
        <v/>
      </c>
      <c r="AU239" s="4" t="n"/>
      <c r="AV239" s="4">
        <f>MAX(0,AT239-AD239-AC239)</f>
        <v/>
      </c>
      <c r="AW239" s="4" t="n"/>
      <c r="AX239" s="14">
        <f>TODAY()</f>
        <v/>
      </c>
      <c r="AY239" s="4" t="n"/>
      <c r="AZ239" s="4" t="n"/>
      <c r="BA239" s="16" t="n"/>
      <c r="BB239" s="16" t="n"/>
      <c r="BC239" s="16" t="n"/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>
        <f>K240*1000</f>
        <v/>
      </c>
      <c r="K240" s="4" t="n"/>
      <c r="L240" s="4" t="n"/>
      <c r="M240" s="4" t="n"/>
      <c r="N240" s="4" t="n"/>
      <c r="O240" s="4" t="n"/>
      <c r="P240" s="4" t="n"/>
      <c r="Q240" s="4">
        <f>L240*M240*N240/1000000</f>
        <v/>
      </c>
      <c r="R240" s="4" t="n"/>
      <c r="S240" s="4" t="n"/>
      <c r="T240" s="4" t="n"/>
      <c r="U240" s="4" t="n"/>
      <c r="V240" s="4" t="n"/>
      <c r="W240" s="4" t="n"/>
      <c r="X240" s="4">
        <f>AR240*(W240+35+10)</f>
        <v/>
      </c>
      <c r="Y240" s="4">
        <f>AR240*(W240+35+10+45)</f>
        <v/>
      </c>
      <c r="Z240" s="4">
        <f>AA240+AB240+AC240</f>
        <v/>
      </c>
      <c r="AA240" s="4" t="n"/>
      <c r="AB240" s="4" t="n"/>
      <c r="AC240" s="4" t="n"/>
      <c r="AD240" s="4">
        <f>AA240+AB240</f>
        <v/>
      </c>
      <c r="AE240" s="13">
        <f>IF(AD240&lt;=AT240,"库存不足",IF(AD240&gt;=AT240*1.5,"库存预警","库存正常"))</f>
        <v/>
      </c>
      <c r="AF240" s="4">
        <f>MAX(AT240-AA240-AB240,0)</f>
        <v/>
      </c>
      <c r="AG240" s="4">
        <f>MAX(X240-AD240,0)</f>
        <v/>
      </c>
      <c r="AH240" s="4">
        <f>AF240-AG240</f>
        <v/>
      </c>
      <c r="AI240" s="14">
        <f>AX240+(AA240+AB240)/AR240-60</f>
        <v/>
      </c>
      <c r="AJ240" s="4" t="n"/>
      <c r="AK240" s="15" t="n"/>
      <c r="AL240" s="15" t="n"/>
      <c r="AM240" s="15" t="n"/>
      <c r="AN240" s="15" t="n"/>
      <c r="AO240" s="4">
        <f>ROUND(AK240/7,0)</f>
        <v/>
      </c>
      <c r="AP240" s="4">
        <f>ROUND(AL240/15,0)</f>
        <v/>
      </c>
      <c r="AQ240" s="4">
        <f>ROUND(AM240/30,0)</f>
        <v/>
      </c>
      <c r="AR240" s="4" t="n"/>
      <c r="AS240" s="4" t="n"/>
      <c r="AT240" s="4">
        <f>AR240*(W240+7+30)</f>
        <v/>
      </c>
      <c r="AU240" s="4" t="n"/>
      <c r="AV240" s="4">
        <f>MAX(0,AT240-AD240-AC240)</f>
        <v/>
      </c>
      <c r="AW240" s="4" t="n"/>
      <c r="AX240" s="14">
        <f>TODAY()</f>
        <v/>
      </c>
      <c r="AY240" s="4" t="n"/>
      <c r="AZ240" s="4" t="n"/>
      <c r="BA240" s="16" t="n"/>
      <c r="BB240" s="16" t="n"/>
      <c r="BC240" s="16" t="n"/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>
        <f>K241*1000</f>
        <v/>
      </c>
      <c r="K241" s="4" t="n"/>
      <c r="L241" s="4" t="n"/>
      <c r="M241" s="4" t="n"/>
      <c r="N241" s="4" t="n"/>
      <c r="O241" s="4" t="n"/>
      <c r="P241" s="4" t="n"/>
      <c r="Q241" s="4">
        <f>L241*M241*N241/1000000</f>
        <v/>
      </c>
      <c r="R241" s="4" t="n"/>
      <c r="S241" s="4" t="n"/>
      <c r="T241" s="4" t="n"/>
      <c r="U241" s="4" t="n"/>
      <c r="V241" s="4" t="n"/>
      <c r="W241" s="4" t="n"/>
      <c r="X241" s="4">
        <f>AR241*(W241+30)</f>
        <v/>
      </c>
      <c r="Y241" s="4" t="n"/>
      <c r="Z241" s="4">
        <f>AA241+AB241+AC241</f>
        <v/>
      </c>
      <c r="AA241" s="4" t="n"/>
      <c r="AB241" s="4" t="n"/>
      <c r="AC241" s="4" t="n"/>
      <c r="AD241" s="4">
        <f>AA241+AB241</f>
        <v/>
      </c>
      <c r="AE241" s="13">
        <f>IF(AD241&lt;=AT241,"库存不足",IF(AD241&gt;=AT241*1.5,"库存预警","库存正常"))</f>
        <v/>
      </c>
      <c r="AF241" s="4">
        <f>MAX(AT241-AA241-AB241,0)</f>
        <v/>
      </c>
      <c r="AG241" s="4">
        <f>MAX(X241-AD241,0)</f>
        <v/>
      </c>
      <c r="AH241" s="4">
        <f>AF241-AG241</f>
        <v/>
      </c>
      <c r="AI241" s="14">
        <f>AX241+(AA241+AB241)/AR241-60</f>
        <v/>
      </c>
      <c r="AJ241" s="4" t="n"/>
      <c r="AK241" s="4" t="n"/>
      <c r="AL241" s="4" t="n"/>
      <c r="AM241" s="4" t="n"/>
      <c r="AN241" s="15" t="n"/>
      <c r="AO241" s="4">
        <f>ROUND(AK241/7,0)</f>
        <v/>
      </c>
      <c r="AP241" s="4">
        <f>ROUND(AL241/15,0)</f>
        <v/>
      </c>
      <c r="AQ241" s="4">
        <f>ROUND(AM241/30,0)</f>
        <v/>
      </c>
      <c r="AR241" s="4" t="n"/>
      <c r="AS241" s="4" t="n"/>
      <c r="AT241" s="4">
        <f>AR241*(W241+7+30)</f>
        <v/>
      </c>
      <c r="AU241" s="4" t="n"/>
      <c r="AV241" s="4">
        <f>MAX(0,AT241-AD241-AC241)</f>
        <v/>
      </c>
      <c r="AW241" s="4" t="n"/>
      <c r="AX241" s="14">
        <f>TODAY()</f>
        <v/>
      </c>
      <c r="AY241" s="4" t="n"/>
      <c r="AZ241" s="4" t="n"/>
      <c r="BA241" s="16" t="n"/>
      <c r="BB241" s="16" t="n"/>
      <c r="BC241" s="16" t="n"/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>
        <f>K242*1000</f>
        <v/>
      </c>
      <c r="K242" s="4" t="n"/>
      <c r="L242" s="4" t="n"/>
      <c r="M242" s="4" t="n"/>
      <c r="N242" s="4" t="n"/>
      <c r="O242" s="4" t="n"/>
      <c r="P242" s="4" t="n"/>
      <c r="Q242" s="4">
        <f>L242*M242*N242/1000000</f>
        <v/>
      </c>
      <c r="R242" s="4" t="n"/>
      <c r="S242" s="4" t="n"/>
      <c r="T242" s="4" t="n"/>
      <c r="U242" s="4" t="n"/>
      <c r="V242" s="4" t="n"/>
      <c r="W242" s="4" t="n"/>
      <c r="X242" s="4">
        <f>AR242*(W242+30)</f>
        <v/>
      </c>
      <c r="Y242" s="4" t="n"/>
      <c r="Z242" s="4">
        <f>AA242+AB242+AC242</f>
        <v/>
      </c>
      <c r="AA242" s="4" t="n"/>
      <c r="AB242" s="4" t="n"/>
      <c r="AC242" s="4" t="n"/>
      <c r="AD242" s="4">
        <f>AA242+AB242</f>
        <v/>
      </c>
      <c r="AE242" s="13">
        <f>IF(AD242&lt;=AT242,"库存不足",IF(AD242&gt;=AT242*1.5,"库存预警","库存正常"))</f>
        <v/>
      </c>
      <c r="AF242" s="4">
        <f>MAX(AT242-AA242-AB242,0)</f>
        <v/>
      </c>
      <c r="AG242" s="4">
        <f>MAX(X242-AD242,0)</f>
        <v/>
      </c>
      <c r="AH242" s="4">
        <f>AF242-AG242</f>
        <v/>
      </c>
      <c r="AI242" s="14">
        <f>AX242+(AA242+AB242)/AR242-60</f>
        <v/>
      </c>
      <c r="AJ242" s="4" t="n"/>
      <c r="AK242" s="4" t="n"/>
      <c r="AL242" s="4" t="n"/>
      <c r="AM242" s="4" t="n"/>
      <c r="AN242" s="15" t="n"/>
      <c r="AO242" s="4">
        <f>ROUND(AK242/7,0)</f>
        <v/>
      </c>
      <c r="AP242" s="4">
        <f>ROUND(AL242/15,0)</f>
        <v/>
      </c>
      <c r="AQ242" s="4">
        <f>ROUND(AM242/30,0)</f>
        <v/>
      </c>
      <c r="AR242" s="4" t="n"/>
      <c r="AS242" s="4" t="n"/>
      <c r="AT242" s="4">
        <f>AR242*(W242+7+30)</f>
        <v/>
      </c>
      <c r="AU242" s="4" t="n"/>
      <c r="AV242" s="4">
        <f>MAX(0,AT242-AD242-AC242)</f>
        <v/>
      </c>
      <c r="AW242" s="4" t="n"/>
      <c r="AX242" s="14">
        <f>TODAY()</f>
        <v/>
      </c>
      <c r="AY242" s="4" t="n"/>
      <c r="AZ242" s="4" t="n"/>
      <c r="BA242" s="16" t="n"/>
      <c r="BB242" s="16" t="n"/>
      <c r="BC242" s="16" t="n"/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>
        <f>K243*1000</f>
        <v/>
      </c>
      <c r="K243" s="4" t="n"/>
      <c r="L243" s="4" t="n"/>
      <c r="M243" s="4" t="n"/>
      <c r="N243" s="4" t="n"/>
      <c r="O243" s="4" t="n"/>
      <c r="P243" s="4" t="n"/>
      <c r="Q243" s="4">
        <f>L243*M243*N243/1000000</f>
        <v/>
      </c>
      <c r="R243" s="4" t="n"/>
      <c r="S243" s="4" t="n"/>
      <c r="T243" s="4" t="n"/>
      <c r="U243" s="4" t="n"/>
      <c r="V243" s="4" t="n"/>
      <c r="W243" s="4" t="n"/>
      <c r="X243" s="4">
        <f>AR243*(W243+30)</f>
        <v/>
      </c>
      <c r="Y243" s="4" t="n"/>
      <c r="Z243" s="4">
        <f>AA243+AB243+AC243</f>
        <v/>
      </c>
      <c r="AA243" s="4" t="n"/>
      <c r="AB243" s="4" t="n"/>
      <c r="AC243" s="4" t="n"/>
      <c r="AD243" s="4">
        <f>AA243+AB243</f>
        <v/>
      </c>
      <c r="AE243" s="13">
        <f>IF(AD243&lt;=AT243,"库存不足",IF(AD243&gt;=AT243*1.5,"库存预警","库存正常"))</f>
        <v/>
      </c>
      <c r="AF243" s="4">
        <f>MAX(AT243-AA243-AB243,0)</f>
        <v/>
      </c>
      <c r="AG243" s="4">
        <f>MAX(X243-AD243,0)</f>
        <v/>
      </c>
      <c r="AH243" s="4">
        <f>AF243-AG243</f>
        <v/>
      </c>
      <c r="AI243" s="14">
        <f>AX243+(AA243+AB243)/AR243-60</f>
        <v/>
      </c>
      <c r="AJ243" s="4" t="n"/>
      <c r="AK243" s="4" t="n"/>
      <c r="AL243" s="4" t="n"/>
      <c r="AM243" s="4" t="n"/>
      <c r="AN243" s="15" t="n"/>
      <c r="AO243" s="4">
        <f>ROUND(AK243/7,0)</f>
        <v/>
      </c>
      <c r="AP243" s="4">
        <f>ROUND(AL243/15,0)</f>
        <v/>
      </c>
      <c r="AQ243" s="4">
        <f>ROUND(AM243/30,0)</f>
        <v/>
      </c>
      <c r="AR243" s="4" t="n"/>
      <c r="AS243" s="4" t="n"/>
      <c r="AT243" s="4">
        <f>AR243*(W243+7+30)</f>
        <v/>
      </c>
      <c r="AU243" s="35" t="n"/>
      <c r="AV243" s="4">
        <f>MAX(0,AT243-AD243-AC243)</f>
        <v/>
      </c>
      <c r="AW243" s="4" t="n"/>
      <c r="AX243" s="14">
        <f>TODAY()</f>
        <v/>
      </c>
      <c r="AY243" s="4" t="n"/>
      <c r="AZ243" s="4" t="n"/>
      <c r="BA243" s="16" t="n"/>
      <c r="BB243" s="16" t="n"/>
      <c r="BC243" s="16" t="n"/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>
        <f>K244*1000</f>
        <v/>
      </c>
      <c r="K244" s="4" t="n"/>
      <c r="L244" s="4" t="n"/>
      <c r="M244" s="4" t="n"/>
      <c r="N244" s="4" t="n"/>
      <c r="O244" s="4" t="n"/>
      <c r="P244" s="4" t="n"/>
      <c r="Q244" s="4">
        <f>L244*M244*N244/1000000</f>
        <v/>
      </c>
      <c r="R244" s="4" t="n"/>
      <c r="S244" s="4" t="n"/>
      <c r="T244" s="4" t="n"/>
      <c r="U244" s="4" t="n"/>
      <c r="V244" s="4" t="n"/>
      <c r="W244" s="4" t="n"/>
      <c r="X244" s="4">
        <f>AR244*(W244+35+10)</f>
        <v/>
      </c>
      <c r="Y244" s="4">
        <f>AR244*(W244+35+10+45)</f>
        <v/>
      </c>
      <c r="Z244" s="4">
        <f>AA244+AB244+AC244</f>
        <v/>
      </c>
      <c r="AA244" s="4" t="n"/>
      <c r="AB244" s="4" t="n"/>
      <c r="AC244" s="4" t="n"/>
      <c r="AD244" s="4">
        <f>AA244+AB244</f>
        <v/>
      </c>
      <c r="AE244" s="13">
        <f>IF(AD244&lt;=AT244,"库存不足",IF(AD244&gt;=AT244*1.5,"库存预警","库存正常"))</f>
        <v/>
      </c>
      <c r="AF244" s="4">
        <f>MAX(AT244-AA244-AB244,0)</f>
        <v/>
      </c>
      <c r="AG244" s="4">
        <f>MAX(X244-AD244,0)</f>
        <v/>
      </c>
      <c r="AH244" s="4">
        <f>AF244-AG244</f>
        <v/>
      </c>
      <c r="AI244" s="14">
        <f>AX244+(AA244+AB244)/AR244-67</f>
        <v/>
      </c>
      <c r="AJ244" s="4" t="n"/>
      <c r="AK244" s="4" t="n"/>
      <c r="AL244" s="4" t="n"/>
      <c r="AM244" s="4" t="n"/>
      <c r="AN244" s="15" t="n"/>
      <c r="AO244" s="4">
        <f>ROUND(AK244/7,0)</f>
        <v/>
      </c>
      <c r="AP244" s="4">
        <f>ROUND(AL244/15,0)</f>
        <v/>
      </c>
      <c r="AQ244" s="4">
        <f>ROUND(AM244/30,0)</f>
        <v/>
      </c>
      <c r="AR244" s="4" t="n"/>
      <c r="AS244" s="4" t="n"/>
      <c r="AT244" s="4">
        <f>AR244*(W244+7+60)</f>
        <v/>
      </c>
      <c r="AU244" s="4" t="n"/>
      <c r="AV244" s="4">
        <f>MAX(0,AT244-AD244-AC244)</f>
        <v/>
      </c>
      <c r="AW244" s="4" t="n"/>
      <c r="AX244" s="14">
        <f>TODAY()</f>
        <v/>
      </c>
      <c r="AY244" s="4" t="n"/>
      <c r="AZ244" s="4" t="n"/>
      <c r="BA244" s="16" t="n"/>
      <c r="BB244" s="16" t="n"/>
      <c r="BC244" s="16" t="n"/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>
        <f>K245*1000</f>
        <v/>
      </c>
      <c r="K245" s="4" t="n"/>
      <c r="L245" s="4" t="n"/>
      <c r="M245" s="4" t="n"/>
      <c r="N245" s="4" t="n"/>
      <c r="O245" s="4" t="n"/>
      <c r="P245" s="4" t="n"/>
      <c r="Q245" s="4">
        <f>L245*M245*N245/1000000</f>
        <v/>
      </c>
      <c r="R245" s="4" t="n"/>
      <c r="S245" s="4" t="n"/>
      <c r="T245" s="4" t="n"/>
      <c r="U245" s="4" t="n"/>
      <c r="V245" s="4" t="n"/>
      <c r="W245" s="4" t="n"/>
      <c r="X245" s="4">
        <f>AR245*(W245+35+10)</f>
        <v/>
      </c>
      <c r="Y245" s="4">
        <f>AR245*(W245+35+10+45)</f>
        <v/>
      </c>
      <c r="Z245" s="4">
        <f>AA245+AB245+AC245</f>
        <v/>
      </c>
      <c r="AA245" s="4" t="n"/>
      <c r="AB245" s="4" t="n"/>
      <c r="AC245" s="4" t="n"/>
      <c r="AD245" s="4">
        <f>AA245+AB245</f>
        <v/>
      </c>
      <c r="AE245" s="13">
        <f>IF(AD245&lt;=AT245,"库存不足",IF(AD245&gt;=AT245*1.5,"库存预警","库存正常"))</f>
        <v/>
      </c>
      <c r="AF245" s="4">
        <f>MAX(AT245-AA245-AB245,0)</f>
        <v/>
      </c>
      <c r="AG245" s="4">
        <f>MAX(X245-AD245,0)</f>
        <v/>
      </c>
      <c r="AH245" s="4">
        <f>AF245-AG245</f>
        <v/>
      </c>
      <c r="AI245" s="14">
        <f>AX245+(AA245+AB245)/AR245-67</f>
        <v/>
      </c>
      <c r="AJ245" s="4" t="n"/>
      <c r="AK245" s="15" t="n"/>
      <c r="AL245" s="15" t="n"/>
      <c r="AM245" s="15" t="n"/>
      <c r="AN245" s="15" t="n"/>
      <c r="AO245" s="4">
        <f>ROUND(AK245/7,0)</f>
        <v/>
      </c>
      <c r="AP245" s="4">
        <f>ROUND(AL245/15,0)</f>
        <v/>
      </c>
      <c r="AQ245" s="4">
        <f>ROUND(AM245/30,0)</f>
        <v/>
      </c>
      <c r="AR245" s="4" t="n"/>
      <c r="AS245" s="4" t="n"/>
      <c r="AT245" s="4">
        <f>AR245*(W245+7+60)</f>
        <v/>
      </c>
      <c r="AU245" s="4" t="n"/>
      <c r="AV245" s="4">
        <f>MAX(0,AT245-AD245-AC245)</f>
        <v/>
      </c>
      <c r="AW245" s="4" t="n"/>
      <c r="AX245" s="14">
        <f>TODAY()</f>
        <v/>
      </c>
      <c r="AY245" s="4" t="n"/>
      <c r="AZ245" s="4" t="n"/>
      <c r="BA245" s="16" t="n"/>
      <c r="BB245" s="16" t="n"/>
      <c r="BC245" s="16" t="n"/>
    </row>
    <row r="246" ht="14.25" customHeight="1" s="31">
      <c r="A246" s="4" t="n"/>
      <c r="B246" s="4" t="n"/>
      <c r="C246" s="4" t="n"/>
      <c r="D246" s="4" t="n"/>
      <c r="E246" s="19" t="n"/>
      <c r="F246" s="4" t="n"/>
      <c r="G246" s="4" t="n"/>
      <c r="H246" s="4" t="n"/>
      <c r="I246" s="4" t="n"/>
      <c r="J246" s="4">
        <f>K246*1000</f>
        <v/>
      </c>
      <c r="K246" s="4" t="n"/>
      <c r="L246" s="4" t="n"/>
      <c r="M246" s="4" t="n"/>
      <c r="N246" s="4" t="n"/>
      <c r="O246" s="4" t="n"/>
      <c r="P246" s="4" t="n"/>
      <c r="Q246" s="4">
        <f>L246*M246*N246/1000000</f>
        <v/>
      </c>
      <c r="R246" s="4" t="n"/>
      <c r="S246" s="4" t="n"/>
      <c r="T246" s="4" t="n"/>
      <c r="U246" s="4" t="n"/>
      <c r="V246" s="4" t="n"/>
      <c r="W246" s="4" t="n"/>
      <c r="X246" s="4">
        <f>AR246*(W246+35+10)</f>
        <v/>
      </c>
      <c r="Y246" s="4">
        <f>AR246*(W246+35+10+45)</f>
        <v/>
      </c>
      <c r="Z246" s="4">
        <f>AA246+AB246+AC246</f>
        <v/>
      </c>
      <c r="AA246" s="4" t="n"/>
      <c r="AB246" s="4" t="n"/>
      <c r="AC246" s="4" t="n"/>
      <c r="AD246" s="4">
        <f>AA246+AB246</f>
        <v/>
      </c>
      <c r="AE246" s="13">
        <f>IF(AD246&lt;=AT246,"库存不足",IF(AD246&gt;=AT246*1.5,"库存预警","库存正常"))</f>
        <v/>
      </c>
      <c r="AF246" s="4">
        <f>MAX(AT246-AA246-AB246,0)</f>
        <v/>
      </c>
      <c r="AG246" s="4">
        <f>MAX(X246-AD246,0)</f>
        <v/>
      </c>
      <c r="AH246" s="4">
        <f>AF246-AG246</f>
        <v/>
      </c>
      <c r="AI246" s="14">
        <f>AX246+(AA246+AB246)/AR246-60</f>
        <v/>
      </c>
      <c r="AJ246" s="4" t="n"/>
      <c r="AK246" s="15" t="n"/>
      <c r="AL246" s="15" t="n"/>
      <c r="AM246" s="15" t="n"/>
      <c r="AN246" s="15" t="n"/>
      <c r="AO246" s="4">
        <f>ROUND(AK246/7,0)</f>
        <v/>
      </c>
      <c r="AP246" s="4">
        <f>ROUND(AL246/15,0)</f>
        <v/>
      </c>
      <c r="AQ246" s="4">
        <f>ROUND(AM246/30,0)</f>
        <v/>
      </c>
      <c r="AR246" s="4" t="n"/>
      <c r="AS246" s="4" t="n"/>
      <c r="AT246" s="4">
        <f>AR246*(W246+7+30)</f>
        <v/>
      </c>
      <c r="AU246" s="4" t="n"/>
      <c r="AV246" s="4">
        <f>MAX(0,AT246-AD246-AC246)</f>
        <v/>
      </c>
      <c r="AW246" s="4" t="n"/>
      <c r="AX246" s="14">
        <f>TODAY()</f>
        <v/>
      </c>
      <c r="AY246" s="4" t="n"/>
      <c r="AZ246" s="4" t="n"/>
      <c r="BA246" s="16" t="n"/>
      <c r="BB246" s="16" t="n"/>
      <c r="BC246" s="16" t="n"/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>
        <f>K247*1000</f>
        <v/>
      </c>
      <c r="K247" s="4" t="n"/>
      <c r="L247" s="4" t="n"/>
      <c r="M247" s="4" t="n"/>
      <c r="N247" s="4" t="n"/>
      <c r="O247" s="4" t="n"/>
      <c r="P247" s="4" t="n"/>
      <c r="Q247" s="4">
        <f>L247*M247*N247/1000000</f>
        <v/>
      </c>
      <c r="R247" s="4" t="n"/>
      <c r="S247" s="4" t="n"/>
      <c r="T247" s="4" t="n"/>
      <c r="U247" s="4" t="n"/>
      <c r="V247" s="4" t="n"/>
      <c r="W247" s="4" t="n"/>
      <c r="X247" s="4">
        <f>AR247*(W247+35+10)</f>
        <v/>
      </c>
      <c r="Y247" s="4">
        <f>AR247*(W247+35+10+45)</f>
        <v/>
      </c>
      <c r="Z247" s="4">
        <f>AA247+AB247+AC247</f>
        <v/>
      </c>
      <c r="AA247" s="4" t="n"/>
      <c r="AB247" s="4" t="n"/>
      <c r="AC247" s="4" t="n"/>
      <c r="AD247" s="4">
        <f>AA247+AB247</f>
        <v/>
      </c>
      <c r="AE247" s="13">
        <f>IF(AD247&lt;=AT247,"库存不足",IF(AD247&gt;=AT247*1.5,"库存预警","库存正常"))</f>
        <v/>
      </c>
      <c r="AF247" s="4">
        <f>MAX(AT247-AA247-AB247,0)</f>
        <v/>
      </c>
      <c r="AG247" s="4">
        <f>MAX(X247-AD247,0)</f>
        <v/>
      </c>
      <c r="AH247" s="4">
        <f>AF247-AG247</f>
        <v/>
      </c>
      <c r="AI247" s="14">
        <f>AX247+(AA247+AB247)/AR247-60</f>
        <v/>
      </c>
      <c r="AJ247" s="4" t="n"/>
      <c r="AK247" s="15" t="n"/>
      <c r="AL247" s="15" t="n"/>
      <c r="AM247" s="15" t="n"/>
      <c r="AN247" s="15" t="n"/>
      <c r="AO247" s="4">
        <f>ROUND(AK247/7,0)</f>
        <v/>
      </c>
      <c r="AP247" s="4">
        <f>ROUND(AL247/15,0)</f>
        <v/>
      </c>
      <c r="AQ247" s="4">
        <f>ROUND(AM247/30,0)</f>
        <v/>
      </c>
      <c r="AR247" s="4" t="n"/>
      <c r="AS247" s="4" t="n"/>
      <c r="AT247" s="4">
        <f>AR247*(W247+7+30)</f>
        <v/>
      </c>
      <c r="AU247" s="4" t="n"/>
      <c r="AV247" s="4">
        <f>MAX(0,AT247-AD247-AC247)</f>
        <v/>
      </c>
      <c r="AW247" s="4" t="n"/>
      <c r="AX247" s="14">
        <f>TODAY()</f>
        <v/>
      </c>
      <c r="AY247" s="4" t="n"/>
      <c r="AZ247" s="4" t="n"/>
      <c r="BA247" s="16" t="n"/>
      <c r="BB247" s="16" t="n"/>
      <c r="BC247" s="16" t="n"/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>
        <f>K248*1000</f>
        <v/>
      </c>
      <c r="K248" s="4" t="n"/>
      <c r="L248" s="4" t="n"/>
      <c r="M248" s="4" t="n"/>
      <c r="N248" s="4" t="n"/>
      <c r="O248" s="4" t="n"/>
      <c r="P248" s="4" t="n"/>
      <c r="Q248" s="4">
        <f>L248*M248*N248/1000000</f>
        <v/>
      </c>
      <c r="R248" s="4" t="n"/>
      <c r="S248" s="4" t="n"/>
      <c r="T248" s="4" t="n"/>
      <c r="U248" s="4" t="n"/>
      <c r="V248" s="4" t="n"/>
      <c r="W248" s="4" t="n"/>
      <c r="X248" s="4">
        <f>AR248*(W248+35+10)</f>
        <v/>
      </c>
      <c r="Y248" s="4">
        <f>AR248*(W248+35+10+45)</f>
        <v/>
      </c>
      <c r="Z248" s="4">
        <f>AA248+AB248+AC248</f>
        <v/>
      </c>
      <c r="AA248" s="4" t="n"/>
      <c r="AB248" s="4" t="n"/>
      <c r="AC248" s="4" t="n"/>
      <c r="AD248" s="4">
        <f>AA248+AB248</f>
        <v/>
      </c>
      <c r="AE248" s="13">
        <f>IF(AD248&lt;=AT248,"库存不足",IF(AD248&gt;=AT248*1.5,"库存预警","库存正常"))</f>
        <v/>
      </c>
      <c r="AF248" s="4">
        <f>MAX(AT248-AA248-AB248,0)</f>
        <v/>
      </c>
      <c r="AG248" s="4">
        <f>MAX(X248-AD248,0)</f>
        <v/>
      </c>
      <c r="AH248" s="4">
        <f>AF248-AG248</f>
        <v/>
      </c>
      <c r="AI248" s="14">
        <f>AX248+(AA248+AB248)/AR248-60</f>
        <v/>
      </c>
      <c r="AJ248" s="4" t="n"/>
      <c r="AK248" s="4" t="n"/>
      <c r="AL248" s="4" t="n"/>
      <c r="AM248" s="4" t="n"/>
      <c r="AN248" s="15" t="n"/>
      <c r="AO248" s="4">
        <f>ROUND(AK248/7,0)</f>
        <v/>
      </c>
      <c r="AP248" s="4">
        <f>ROUND(AL248/15,0)</f>
        <v/>
      </c>
      <c r="AQ248" s="4">
        <f>ROUND(AM248/30,0)</f>
        <v/>
      </c>
      <c r="AR248" s="4" t="n"/>
      <c r="AS248" s="4" t="n"/>
      <c r="AT248" s="4">
        <f>AR248*(W248+7+30)</f>
        <v/>
      </c>
      <c r="AU248" s="4" t="n"/>
      <c r="AV248" s="4">
        <f>MAX(0,AT248-AD248-AC248)</f>
        <v/>
      </c>
      <c r="AW248" s="4" t="n"/>
      <c r="AX248" s="14">
        <f>TODAY()</f>
        <v/>
      </c>
      <c r="AY248" s="4" t="n"/>
      <c r="AZ248" s="4" t="n"/>
      <c r="BA248" s="16" t="n"/>
      <c r="BB248" s="16" t="n"/>
      <c r="BC248" s="16" t="n"/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>
        <f>K249*1000</f>
        <v/>
      </c>
      <c r="K249" s="4" t="n"/>
      <c r="L249" s="4" t="n"/>
      <c r="M249" s="4" t="n"/>
      <c r="N249" s="4" t="n"/>
      <c r="O249" s="4" t="n"/>
      <c r="P249" s="4" t="n"/>
      <c r="Q249" s="4">
        <f>L249*M249*N249/1000000</f>
        <v/>
      </c>
      <c r="R249" s="4" t="n"/>
      <c r="S249" s="4" t="n"/>
      <c r="T249" s="4" t="n"/>
      <c r="U249" s="4" t="n"/>
      <c r="V249" s="4" t="n"/>
      <c r="W249" s="4" t="n"/>
      <c r="X249" s="4">
        <f>AR249*(W249+35+10)</f>
        <v/>
      </c>
      <c r="Y249" s="4">
        <f>AR249*(W249+35+10+45)</f>
        <v/>
      </c>
      <c r="Z249" s="4">
        <f>AA249+AB249+AC249</f>
        <v/>
      </c>
      <c r="AA249" s="4" t="n"/>
      <c r="AB249" s="4" t="n"/>
      <c r="AC249" s="4" t="n"/>
      <c r="AD249" s="4">
        <f>AA249+AB249</f>
        <v/>
      </c>
      <c r="AE249" s="13">
        <f>IF(AD249&lt;=AT249,"库存不足",IF(AD249&gt;=AT249*1.5,"库存预警","库存正常"))</f>
        <v/>
      </c>
      <c r="AF249" s="4">
        <f>MAX(AT249-AA249-AB249,0)</f>
        <v/>
      </c>
      <c r="AG249" s="4">
        <f>MAX(X249-AD249,0)</f>
        <v/>
      </c>
      <c r="AH249" s="4">
        <f>AF249-AG249</f>
        <v/>
      </c>
      <c r="AI249" s="14">
        <f>AX249+(AA249+AB249)/AR249-60</f>
        <v/>
      </c>
      <c r="AJ249" s="4" t="n"/>
      <c r="AK249" s="15" t="n"/>
      <c r="AL249" s="15" t="n"/>
      <c r="AM249" s="15" t="n"/>
      <c r="AN249" s="15" t="n"/>
      <c r="AO249" s="4">
        <f>ROUND(AK249/7,0)</f>
        <v/>
      </c>
      <c r="AP249" s="4">
        <f>ROUND(AL249/15,0)</f>
        <v/>
      </c>
      <c r="AQ249" s="4">
        <f>ROUND(AM249/30,0)</f>
        <v/>
      </c>
      <c r="AR249" s="4" t="n"/>
      <c r="AS249" s="4" t="n"/>
      <c r="AT249" s="4">
        <f>AR249*(W249+7+30)</f>
        <v/>
      </c>
      <c r="AU249" s="4" t="n"/>
      <c r="AV249" s="4">
        <f>MAX(0,AT249-AD249-AC249)</f>
        <v/>
      </c>
      <c r="AW249" s="4" t="n"/>
      <c r="AX249" s="14">
        <f>TODAY()</f>
        <v/>
      </c>
      <c r="AY249" s="4" t="n"/>
      <c r="AZ249" s="4" t="n"/>
      <c r="BA249" s="16" t="n"/>
      <c r="BB249" s="16" t="n"/>
      <c r="BC249" s="16" t="n"/>
    </row>
    <row r="250" ht="14.25" customHeight="1" s="31">
      <c r="A250" s="4" t="n"/>
      <c r="B250" s="4" t="n"/>
      <c r="C250" s="4" t="n"/>
      <c r="D250" s="4" t="n"/>
      <c r="E250" s="19" t="n"/>
      <c r="F250" s="4" t="n"/>
      <c r="G250" s="4" t="n"/>
      <c r="H250" s="4" t="n"/>
      <c r="I250" s="4" t="n"/>
      <c r="J250" s="4">
        <f>K250*1000</f>
        <v/>
      </c>
      <c r="K250" s="4" t="n"/>
      <c r="L250" s="4" t="n"/>
      <c r="M250" s="4" t="n"/>
      <c r="N250" s="4" t="n"/>
      <c r="O250" s="4" t="n"/>
      <c r="P250" s="4" t="n"/>
      <c r="Q250" s="4">
        <f>L250*M250*N250/1000000</f>
        <v/>
      </c>
      <c r="R250" s="4" t="n"/>
      <c r="S250" s="4" t="n"/>
      <c r="T250" s="4" t="n"/>
      <c r="U250" s="4" t="n"/>
      <c r="V250" s="4" t="n"/>
      <c r="W250" s="4" t="n"/>
      <c r="X250" s="4">
        <f>AR250*(W250+35+10)</f>
        <v/>
      </c>
      <c r="Y250" s="4">
        <f>AR250*(W250+35+10+45)</f>
        <v/>
      </c>
      <c r="Z250" s="4">
        <f>AA250+AB250+AC250</f>
        <v/>
      </c>
      <c r="AA250" s="4" t="n"/>
      <c r="AB250" s="4" t="n"/>
      <c r="AC250" s="4" t="n"/>
      <c r="AD250" s="4">
        <f>AA250+AB250</f>
        <v/>
      </c>
      <c r="AE250" s="13">
        <f>IF(AD250&lt;=AT250,"库存不足",IF(AD250&gt;=AT250*1.5,"库存预警","库存正常"))</f>
        <v/>
      </c>
      <c r="AF250" s="4">
        <f>MAX(AT250-AA250-AB250,0)</f>
        <v/>
      </c>
      <c r="AG250" s="4">
        <f>MAX(X250-AD250,0)</f>
        <v/>
      </c>
      <c r="AH250" s="4">
        <f>AF250-AG250</f>
        <v/>
      </c>
      <c r="AI250" s="14">
        <f>AX250+(AA250+AB250)/AR250-60</f>
        <v/>
      </c>
      <c r="AJ250" s="4" t="n"/>
      <c r="AK250" s="15" t="n"/>
      <c r="AL250" s="15" t="n"/>
      <c r="AM250" s="15" t="n"/>
      <c r="AN250" s="15" t="n"/>
      <c r="AO250" s="4">
        <f>ROUND(AK250/7,0)</f>
        <v/>
      </c>
      <c r="AP250" s="4">
        <f>ROUND(AL250/15,0)</f>
        <v/>
      </c>
      <c r="AQ250" s="4">
        <f>ROUND(AM250/30,0)</f>
        <v/>
      </c>
      <c r="AR250" s="4" t="n"/>
      <c r="AS250" s="4" t="n"/>
      <c r="AT250" s="4">
        <f>AR250*(W250+7+30)</f>
        <v/>
      </c>
      <c r="AU250" s="4" t="n"/>
      <c r="AV250" s="4">
        <f>MAX(0,AT250-AD250-AC250)</f>
        <v/>
      </c>
      <c r="AW250" s="4" t="n"/>
      <c r="AX250" s="14">
        <f>TODAY()</f>
        <v/>
      </c>
      <c r="AY250" s="4" t="n"/>
      <c r="AZ250" s="4" t="n"/>
      <c r="BA250" s="16" t="n"/>
      <c r="BB250" s="16" t="n"/>
      <c r="BC250" s="16" t="n"/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>
        <f>K251*1000</f>
        <v/>
      </c>
      <c r="K251" s="4" t="n"/>
      <c r="L251" s="4" t="n"/>
      <c r="M251" s="4" t="n"/>
      <c r="N251" s="4" t="n"/>
      <c r="O251" s="4" t="n"/>
      <c r="P251" s="4" t="n"/>
      <c r="Q251" s="4">
        <f>L251*M251*N251/1000000</f>
        <v/>
      </c>
      <c r="R251" s="4" t="n"/>
      <c r="S251" s="4" t="n"/>
      <c r="T251" s="4" t="n"/>
      <c r="U251" s="4" t="n"/>
      <c r="V251" s="4" t="n"/>
      <c r="W251" s="4" t="n"/>
      <c r="X251" s="4">
        <f>AR251*(W251+35+10)</f>
        <v/>
      </c>
      <c r="Y251" s="4">
        <f>AR251*(W251+35+10+45)</f>
        <v/>
      </c>
      <c r="Z251" s="4">
        <f>AA251+AB251+AC251</f>
        <v/>
      </c>
      <c r="AA251" s="4" t="n"/>
      <c r="AB251" s="4" t="n"/>
      <c r="AC251" s="4" t="n"/>
      <c r="AD251" s="4">
        <f>AA251+AB251</f>
        <v/>
      </c>
      <c r="AE251" s="13">
        <f>IF(AD251&lt;=AT251,"库存不足",IF(AD251&gt;=AT251*1.5,"库存预警","库存正常"))</f>
        <v/>
      </c>
      <c r="AF251" s="4">
        <f>MAX(AT251-AA251-AB251,0)</f>
        <v/>
      </c>
      <c r="AG251" s="4">
        <f>MAX(X251-AD251,0)</f>
        <v/>
      </c>
      <c r="AH251" s="4">
        <f>AF251-AG251</f>
        <v/>
      </c>
      <c r="AI251" s="14">
        <f>AX251+(AA251+AB251)/AR251-60</f>
        <v/>
      </c>
      <c r="AJ251" s="4" t="n"/>
      <c r="AK251" s="15" t="n"/>
      <c r="AL251" s="15" t="n"/>
      <c r="AM251" s="15" t="n"/>
      <c r="AN251" s="15" t="n"/>
      <c r="AO251" s="4">
        <f>ROUND(AK251/7,0)</f>
        <v/>
      </c>
      <c r="AP251" s="4">
        <f>ROUND(AL251/15,0)</f>
        <v/>
      </c>
      <c r="AQ251" s="4">
        <f>ROUND(AM251/30,0)</f>
        <v/>
      </c>
      <c r="AR251" s="4" t="n"/>
      <c r="AS251" s="4" t="n"/>
      <c r="AT251" s="4">
        <f>AR251*(W251+7+35+10+45)</f>
        <v/>
      </c>
      <c r="AU251" s="4" t="n"/>
      <c r="AV251" s="4">
        <f>MAX(0,AT251-AD251-AC251)</f>
        <v/>
      </c>
      <c r="AW251" s="4" t="n"/>
      <c r="AX251" s="14">
        <f>TODAY()</f>
        <v/>
      </c>
      <c r="AY251" s="4" t="n"/>
      <c r="AZ251" s="4" t="n"/>
      <c r="BA251" s="16" t="n"/>
      <c r="BB251" s="16" t="n"/>
      <c r="BC251" s="16" t="n"/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>
        <f>K252*1000</f>
        <v/>
      </c>
      <c r="K252" s="4" t="n"/>
      <c r="L252" s="4" t="n"/>
      <c r="M252" s="4" t="n"/>
      <c r="N252" s="4" t="n"/>
      <c r="O252" s="4" t="n"/>
      <c r="P252" s="4" t="n"/>
      <c r="Q252" s="4">
        <f>L252*M252*N252/1000000</f>
        <v/>
      </c>
      <c r="R252" s="4" t="n"/>
      <c r="S252" s="4" t="n"/>
      <c r="T252" s="4" t="n"/>
      <c r="U252" s="4" t="n"/>
      <c r="V252" s="4" t="n"/>
      <c r="W252" s="4" t="n"/>
      <c r="X252" s="4">
        <f>AR252*(W252+35+10)</f>
        <v/>
      </c>
      <c r="Y252" s="4">
        <f>AR252*(W252+35+10+45)</f>
        <v/>
      </c>
      <c r="Z252" s="4">
        <f>AA252+AB252+AC252</f>
        <v/>
      </c>
      <c r="AA252" s="4" t="n"/>
      <c r="AB252" s="4" t="n"/>
      <c r="AC252" s="4" t="n"/>
      <c r="AD252" s="4">
        <f>AA252+AB252</f>
        <v/>
      </c>
      <c r="AE252" s="13">
        <f>IF(AD252&lt;=AT252,"库存不足",IF(AD252&gt;=AT252*1.5,"库存预警","库存正常"))</f>
        <v/>
      </c>
      <c r="AF252" s="4">
        <f>MAX(AT252-AA252-AB252,0)</f>
        <v/>
      </c>
      <c r="AG252" s="4">
        <f>MAX(X252-AD252,0)</f>
        <v/>
      </c>
      <c r="AH252" s="4">
        <f>AF252-AG252</f>
        <v/>
      </c>
      <c r="AI252" s="14">
        <f>AX252+(AA252+AB252)/AR252-60</f>
        <v/>
      </c>
      <c r="AJ252" s="4" t="n"/>
      <c r="AK252" s="4" t="n"/>
      <c r="AL252" s="4" t="n"/>
      <c r="AM252" s="4" t="n"/>
      <c r="AN252" s="15" t="n"/>
      <c r="AO252" s="4">
        <f>ROUND(AK252/7,0)</f>
        <v/>
      </c>
      <c r="AP252" s="4">
        <f>ROUND(AL252/15,0)</f>
        <v/>
      </c>
      <c r="AQ252" s="4">
        <f>ROUND(AM252/30,0)</f>
        <v/>
      </c>
      <c r="AR252" s="4" t="n"/>
      <c r="AS252" s="4" t="n"/>
      <c r="AT252" s="4">
        <f>AR252*(W252+7+30)</f>
        <v/>
      </c>
      <c r="AU252" s="4" t="n"/>
      <c r="AV252" s="4">
        <f>MAX(0,AT252-AD252-AC252)</f>
        <v/>
      </c>
      <c r="AW252" s="4" t="n"/>
      <c r="AX252" s="14">
        <f>TODAY()</f>
        <v/>
      </c>
      <c r="AY252" s="4" t="n"/>
      <c r="AZ252" s="4" t="n"/>
      <c r="BA252" s="16" t="n"/>
      <c r="BB252" s="16" t="n"/>
      <c r="BC252" s="16" t="n"/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>
        <f>K253*1000</f>
        <v/>
      </c>
      <c r="K253" s="4" t="n"/>
      <c r="L253" s="4" t="n"/>
      <c r="M253" s="4" t="n"/>
      <c r="N253" s="4" t="n"/>
      <c r="O253" s="4" t="n"/>
      <c r="P253" s="4" t="n"/>
      <c r="Q253" s="4">
        <f>L253*M253*N253/1000000</f>
        <v/>
      </c>
      <c r="R253" s="4" t="n"/>
      <c r="S253" s="4" t="n"/>
      <c r="T253" s="4" t="n"/>
      <c r="U253" s="4" t="n"/>
      <c r="V253" s="4" t="n"/>
      <c r="W253" s="4" t="n"/>
      <c r="X253" s="4">
        <f>AR253*(W253+35+10)</f>
        <v/>
      </c>
      <c r="Y253" s="4">
        <f>AR253*(W253+35+10+45)</f>
        <v/>
      </c>
      <c r="Z253" s="4">
        <f>AA253+AB253+AC253</f>
        <v/>
      </c>
      <c r="AA253" s="4" t="n"/>
      <c r="AB253" s="4" t="n"/>
      <c r="AC253" s="4" t="n"/>
      <c r="AD253" s="4">
        <f>AA253+AB253</f>
        <v/>
      </c>
      <c r="AE253" s="13">
        <f>IF(AD253&lt;=AT253,"库存不足",IF(AD253&gt;=AT253*1.5,"库存预警","库存正常"))</f>
        <v/>
      </c>
      <c r="AF253" s="4">
        <f>MAX(AT253-AA253-AB253,0)</f>
        <v/>
      </c>
      <c r="AG253" s="4">
        <f>MAX(X253-AD253,0)</f>
        <v/>
      </c>
      <c r="AH253" s="4">
        <f>AF253-AG253</f>
        <v/>
      </c>
      <c r="AI253" s="14">
        <f>AX253+(AA253+AB253)/AR253-60</f>
        <v/>
      </c>
      <c r="AJ253" s="4" t="n"/>
      <c r="AK253" s="15" t="n"/>
      <c r="AL253" s="15" t="n"/>
      <c r="AM253" s="15" t="n"/>
      <c r="AN253" s="15" t="n"/>
      <c r="AO253" s="4">
        <f>ROUND(AK253/7,0)</f>
        <v/>
      </c>
      <c r="AP253" s="4">
        <f>ROUND(AL253/15,0)</f>
        <v/>
      </c>
      <c r="AQ253" s="4">
        <f>ROUND(AM253/30,0)</f>
        <v/>
      </c>
      <c r="AR253" s="4" t="n"/>
      <c r="AS253" s="4" t="n"/>
      <c r="AT253" s="4">
        <f>AR253*(W253+7+30)</f>
        <v/>
      </c>
      <c r="AU253" s="4" t="n"/>
      <c r="AV253" s="4">
        <f>MAX(0,AT253-AD253-AC253)</f>
        <v/>
      </c>
      <c r="AW253" s="4" t="n"/>
      <c r="AX253" s="14">
        <f>TODAY()</f>
        <v/>
      </c>
      <c r="AY253" s="4" t="n"/>
      <c r="AZ253" s="4" t="n"/>
      <c r="BA253" s="16" t="n"/>
      <c r="BB253" s="16" t="n"/>
      <c r="BC253" s="16" t="n"/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>
        <f>K254*1000</f>
        <v/>
      </c>
      <c r="K254" s="4" t="n"/>
      <c r="L254" s="4" t="n"/>
      <c r="M254" s="4" t="n"/>
      <c r="N254" s="4" t="n"/>
      <c r="O254" s="4" t="n"/>
      <c r="P254" s="4" t="n"/>
      <c r="Q254" s="4">
        <f>L254*M254*N254/1000000</f>
        <v/>
      </c>
      <c r="R254" s="4" t="n"/>
      <c r="S254" s="4" t="n"/>
      <c r="T254" s="4" t="n"/>
      <c r="U254" s="4" t="n"/>
      <c r="V254" s="4" t="n"/>
      <c r="W254" s="4" t="n"/>
      <c r="X254" s="4">
        <f>AR254*(W254+30)</f>
        <v/>
      </c>
      <c r="Y254" s="4" t="n"/>
      <c r="Z254" s="4">
        <f>AA254+AB254+AC254</f>
        <v/>
      </c>
      <c r="AA254" s="4" t="n"/>
      <c r="AB254" s="4" t="n"/>
      <c r="AC254" s="4" t="n"/>
      <c r="AD254" s="4">
        <f>AA254+AB254</f>
        <v/>
      </c>
      <c r="AE254" s="13">
        <f>IF(AD254&lt;=AT254,"库存不足",IF(AD254&gt;=AT254*1.5,"库存预警","库存正常"))</f>
        <v/>
      </c>
      <c r="AF254" s="4">
        <f>MAX(AT254-AA254-AB254,0)</f>
        <v/>
      </c>
      <c r="AG254" s="4">
        <f>MAX(X254-AD254,0)</f>
        <v/>
      </c>
      <c r="AH254" s="4">
        <f>AF254-AG254</f>
        <v/>
      </c>
      <c r="AI254" s="14">
        <f>AX254+(AA254+AB254)/AR254-60</f>
        <v/>
      </c>
      <c r="AJ254" s="4" t="n"/>
      <c r="AK254" s="4" t="n"/>
      <c r="AL254" s="4" t="n"/>
      <c r="AM254" s="4" t="n"/>
      <c r="AN254" s="15" t="n"/>
      <c r="AO254" s="4">
        <f>ROUND(AK254/7,0)</f>
        <v/>
      </c>
      <c r="AP254" s="4">
        <f>ROUND(AL254/15,0)</f>
        <v/>
      </c>
      <c r="AQ254" s="4">
        <f>ROUND(AM254/30,0)</f>
        <v/>
      </c>
      <c r="AR254" s="4" t="n"/>
      <c r="AS254" s="4" t="n"/>
      <c r="AT254" s="4">
        <f>AR254*(W254+7+30)</f>
        <v/>
      </c>
      <c r="AU254" s="35" t="n"/>
      <c r="AV254" s="4">
        <f>MAX(0,AT254-AD254-AC254)</f>
        <v/>
      </c>
      <c r="AW254" s="4" t="n"/>
      <c r="AX254" s="14">
        <f>TODAY()</f>
        <v/>
      </c>
      <c r="AY254" s="4" t="n"/>
      <c r="AZ254" s="4" t="n"/>
      <c r="BA254" s="16" t="n"/>
      <c r="BB254" s="16" t="n"/>
      <c r="BC254" s="16" t="n"/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>
        <f>K255*1000</f>
        <v/>
      </c>
      <c r="K255" s="4" t="n"/>
      <c r="L255" s="4" t="n"/>
      <c r="M255" s="4" t="n"/>
      <c r="N255" s="4" t="n"/>
      <c r="O255" s="4" t="n"/>
      <c r="P255" s="4" t="n"/>
      <c r="Q255" s="4">
        <f>L255*M255*N255/1000000</f>
        <v/>
      </c>
      <c r="R255" s="4" t="n"/>
      <c r="S255" s="4" t="n"/>
      <c r="T255" s="4" t="n"/>
      <c r="U255" s="4" t="n"/>
      <c r="V255" s="4" t="n"/>
      <c r="W255" s="4" t="n"/>
      <c r="X255" s="4">
        <f>AR255*(W255+30)</f>
        <v/>
      </c>
      <c r="Y255" s="4" t="n"/>
      <c r="Z255" s="4">
        <f>AA255+AB255+AC255</f>
        <v/>
      </c>
      <c r="AA255" s="4" t="n"/>
      <c r="AB255" s="4" t="n"/>
      <c r="AC255" s="4" t="n"/>
      <c r="AD255" s="4">
        <f>AA255+AB255</f>
        <v/>
      </c>
      <c r="AE255" s="13">
        <f>IF(AD255&lt;=AT255,"库存不足",IF(AD255&gt;=AT255*1.5,"库存预警","库存正常"))</f>
        <v/>
      </c>
      <c r="AF255" s="4">
        <f>MAX(AT255-AA255-AB255,0)</f>
        <v/>
      </c>
      <c r="AG255" s="4">
        <f>MAX(X255-AD255,0)</f>
        <v/>
      </c>
      <c r="AH255" s="4">
        <f>AF255-AG255</f>
        <v/>
      </c>
      <c r="AI255" s="14">
        <f>AX255+(AA255+AB255)/AR255-60</f>
        <v/>
      </c>
      <c r="AJ255" s="4" t="n"/>
      <c r="AK255" s="4" t="n"/>
      <c r="AL255" s="4" t="n"/>
      <c r="AM255" s="4" t="n"/>
      <c r="AN255" s="15" t="n"/>
      <c r="AO255" s="4">
        <f>ROUND(AK255/7,0)</f>
        <v/>
      </c>
      <c r="AP255" s="4">
        <f>ROUND(AL255/15,0)</f>
        <v/>
      </c>
      <c r="AQ255" s="4">
        <f>ROUND(AM255/30,0)</f>
        <v/>
      </c>
      <c r="AR255" s="4" t="n"/>
      <c r="AS255" s="4" t="n"/>
      <c r="AT255" s="4">
        <f>AR255*(W255+7+30)</f>
        <v/>
      </c>
      <c r="AU255" s="4" t="n"/>
      <c r="AV255" s="4">
        <f>MAX(0,AT255-AD255-AC255)</f>
        <v/>
      </c>
      <c r="AW255" s="4" t="n"/>
      <c r="AX255" s="14">
        <f>TODAY()</f>
        <v/>
      </c>
      <c r="AY255" s="4" t="n"/>
      <c r="AZ255" s="4" t="n"/>
      <c r="BA255" s="16" t="n"/>
      <c r="BB255" s="16" t="n"/>
      <c r="BC255" s="16" t="n"/>
    </row>
    <row r="256" ht="14.25" customHeight="1" s="31">
      <c r="A256" s="4" t="n"/>
      <c r="B256" s="4" t="n"/>
      <c r="C256" s="4" t="n"/>
      <c r="D256" s="4" t="n"/>
      <c r="E256" s="19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>
        <f>ROUND(L256*M256*N256*1/1000000,2)</f>
        <v/>
      </c>
      <c r="R256" s="4" t="n"/>
      <c r="S256" s="4" t="n"/>
      <c r="T256" s="4" t="n"/>
      <c r="U256" s="4" t="n"/>
      <c r="V256" s="4" t="n"/>
      <c r="W256" s="4" t="n"/>
      <c r="X256" s="4">
        <f>AR256*(W256+35+10)</f>
        <v/>
      </c>
      <c r="Y256" s="4">
        <f>AR256*(W256+35+10+45)</f>
        <v/>
      </c>
      <c r="Z256" s="4">
        <f>AA256+AB256+AC256</f>
        <v/>
      </c>
      <c r="AA256" s="4" t="n"/>
      <c r="AB256" s="4" t="n"/>
      <c r="AC256" s="4" t="n"/>
      <c r="AD256" s="4">
        <f>AA256+AB256</f>
        <v/>
      </c>
      <c r="AE256" s="13">
        <f>IF(AD256&lt;=AT256,"库存不足",IF(AD256&gt;=AT256*1.5,"库存预警","库存正常"))</f>
        <v/>
      </c>
      <c r="AF256" s="4">
        <f>MAX(AT256-AA256-AB256,0)</f>
        <v/>
      </c>
      <c r="AG256" s="4">
        <f>MAX(X256-AD256,0)</f>
        <v/>
      </c>
      <c r="AH256" s="4">
        <f>AF256-AG256</f>
        <v/>
      </c>
      <c r="AI256" s="14">
        <f>AX256+(AA256+AB256)/AR256-60</f>
        <v/>
      </c>
      <c r="AJ256" s="4" t="n"/>
      <c r="AK256" s="15" t="n"/>
      <c r="AL256" s="15" t="n"/>
      <c r="AM256" s="15" t="n"/>
      <c r="AN256" s="15" t="n"/>
      <c r="AO256" s="4">
        <f>ROUND(AK256/7,0)</f>
        <v/>
      </c>
      <c r="AP256" s="4">
        <f>ROUND(AL256/15,0)</f>
        <v/>
      </c>
      <c r="AQ256" s="4">
        <f>ROUND(AM256/30,0)</f>
        <v/>
      </c>
      <c r="AR256" s="4" t="n"/>
      <c r="AS256" s="4" t="n"/>
      <c r="AT256" s="4">
        <f>AR256*(W256+7+30)</f>
        <v/>
      </c>
      <c r="AU256" s="4" t="n"/>
      <c r="AV256" s="4">
        <f>MAX(0,AT256-AD256-AC256)</f>
        <v/>
      </c>
      <c r="AW256" s="4" t="n"/>
      <c r="AX256" s="14">
        <f>TODAY()</f>
        <v/>
      </c>
      <c r="AY256" s="4" t="n"/>
      <c r="AZ256" s="4" t="n"/>
      <c r="BA256" s="16" t="n"/>
      <c r="BB256" s="16" t="n"/>
      <c r="BC256" s="16" t="n"/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>
        <f>ROUND(L257*M257*N257*1/1000000,2)</f>
        <v/>
      </c>
      <c r="R257" s="4" t="n"/>
      <c r="S257" s="4" t="n"/>
      <c r="T257" s="4" t="n"/>
      <c r="U257" s="4" t="n"/>
      <c r="V257" s="4" t="n"/>
      <c r="W257" s="4" t="n"/>
      <c r="X257" s="4">
        <f>AR257*(W257+35+10)</f>
        <v/>
      </c>
      <c r="Y257" s="4">
        <f>AR257*(W257+35+10+45)</f>
        <v/>
      </c>
      <c r="Z257" s="4">
        <f>AA257+AB257+AC257</f>
        <v/>
      </c>
      <c r="AA257" s="4" t="n"/>
      <c r="AB257" s="4" t="n"/>
      <c r="AC257" s="4" t="n"/>
      <c r="AD257" s="4">
        <f>AA257+AB257</f>
        <v/>
      </c>
      <c r="AE257" s="13">
        <f>IF(AD257&lt;=AT257,"库存不足",IF(AD257&gt;=AT257*1.5,"库存预警","库存正常"))</f>
        <v/>
      </c>
      <c r="AF257" s="4">
        <f>MAX(AT257-AA257-AB257,0)</f>
        <v/>
      </c>
      <c r="AG257" s="4">
        <f>MAX(X257-AD257,0)</f>
        <v/>
      </c>
      <c r="AH257" s="4">
        <f>AF257-AG257</f>
        <v/>
      </c>
      <c r="AI257" s="14">
        <f>AX257+(AA257+AB257)/AR257-60</f>
        <v/>
      </c>
      <c r="AJ257" s="4" t="n"/>
      <c r="AK257" s="4" t="n"/>
      <c r="AL257" s="4" t="n"/>
      <c r="AM257" s="4" t="n"/>
      <c r="AN257" s="15" t="n"/>
      <c r="AO257" s="4">
        <f>ROUND(AK257/7,0)</f>
        <v/>
      </c>
      <c r="AP257" s="4">
        <f>ROUND(AL257/15,0)</f>
        <v/>
      </c>
      <c r="AQ257" s="4">
        <f>ROUND(AM257/30,0)</f>
        <v/>
      </c>
      <c r="AR257" s="4" t="n"/>
      <c r="AS257" s="4" t="n"/>
      <c r="AT257" s="4">
        <f>AR257*(W257+7+30)</f>
        <v/>
      </c>
      <c r="AU257" s="4" t="n"/>
      <c r="AV257" s="4">
        <f>MAX(0,AT257-AD257-AC257)</f>
        <v/>
      </c>
      <c r="AW257" s="4" t="n"/>
      <c r="AX257" s="14">
        <f>TODAY()</f>
        <v/>
      </c>
      <c r="AY257" s="4" t="n"/>
      <c r="AZ257" s="4" t="n"/>
      <c r="BA257" s="16" t="n"/>
      <c r="BB257" s="16" t="n"/>
      <c r="BC257" s="16" t="n"/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>
        <f>ROUND(L258*M258*N258*1/1000000,2)</f>
        <v/>
      </c>
      <c r="R258" s="4" t="n"/>
      <c r="S258" s="4" t="n"/>
      <c r="T258" s="4" t="n"/>
      <c r="U258" s="4" t="n"/>
      <c r="V258" s="4" t="n"/>
      <c r="W258" s="4" t="n"/>
      <c r="X258" s="4">
        <f>AR258*(W258+35+10)</f>
        <v/>
      </c>
      <c r="Y258" s="4">
        <f>AR258*(W258+35+10+45)</f>
        <v/>
      </c>
      <c r="Z258" s="4">
        <f>AA258+AB258+AC258</f>
        <v/>
      </c>
      <c r="AA258" s="4" t="n"/>
      <c r="AB258" s="4" t="n"/>
      <c r="AC258" s="4" t="n"/>
      <c r="AD258" s="4">
        <f>AA258+AB258</f>
        <v/>
      </c>
      <c r="AE258" s="13">
        <f>IF(AD258&lt;=AT258,"库存不足",IF(AD258&gt;=AT258*1.5,"库存预警","库存正常"))</f>
        <v/>
      </c>
      <c r="AF258" s="4">
        <f>MAX(AT258-AA258-AB258,0)</f>
        <v/>
      </c>
      <c r="AG258" s="4">
        <f>MAX(X258-AD258,0)</f>
        <v/>
      </c>
      <c r="AH258" s="4">
        <f>AF258-AG258</f>
        <v/>
      </c>
      <c r="AI258" s="14">
        <f>AX258+(AA258+AB258)/AR258-60</f>
        <v/>
      </c>
      <c r="AJ258" s="4" t="n"/>
      <c r="AK258" s="4" t="n"/>
      <c r="AL258" s="4" t="n"/>
      <c r="AM258" s="4" t="n"/>
      <c r="AN258" s="4">
        <f>ROUND(AJ258/3,0)</f>
        <v/>
      </c>
      <c r="AO258" s="4">
        <f>ROUND(AK258/7,0)</f>
        <v/>
      </c>
      <c r="AP258" s="4">
        <f>ROUND(AL258/15,0)</f>
        <v/>
      </c>
      <c r="AQ258" s="4">
        <f>ROUND(AM258/30,0)</f>
        <v/>
      </c>
      <c r="AR258" s="4" t="n"/>
      <c r="AS258" s="4" t="n"/>
      <c r="AT258" s="4">
        <f>AR258*(W258+7+30)</f>
        <v/>
      </c>
      <c r="AU258" s="4" t="n"/>
      <c r="AV258" s="4">
        <f>MAX(0,AT258-AD258-AC258)</f>
        <v/>
      </c>
      <c r="AW258" s="4" t="n"/>
      <c r="AX258" s="14">
        <f>TODAY()</f>
        <v/>
      </c>
      <c r="AY258" s="4" t="n"/>
      <c r="AZ258" s="4" t="n"/>
      <c r="BA258" s="16" t="n"/>
      <c r="BB258" s="16" t="n"/>
      <c r="BC258" s="16" t="n"/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>
        <f>ROUND(L259*M259*N259*1/1000000,2)</f>
        <v/>
      </c>
      <c r="R259" s="4" t="n"/>
      <c r="S259" s="4" t="n"/>
      <c r="T259" s="4" t="n"/>
      <c r="U259" s="4" t="n"/>
      <c r="V259" s="4" t="n"/>
      <c r="W259" s="4" t="n"/>
      <c r="X259" s="4">
        <f>AR259*(W259+35+10)</f>
        <v/>
      </c>
      <c r="Y259" s="4">
        <f>AR259*(W259+35+10+45)</f>
        <v/>
      </c>
      <c r="Z259" s="4">
        <f>AA259+AB259+AC259</f>
        <v/>
      </c>
      <c r="AA259" s="4" t="n"/>
      <c r="AB259" s="4" t="n"/>
      <c r="AC259" s="4" t="n"/>
      <c r="AD259" s="4">
        <f>AA259+AB259</f>
        <v/>
      </c>
      <c r="AE259" s="13">
        <f>IF(AD259&lt;=AT259,"库存不足",IF(AD259&gt;=AT259*1.5,"库存预警","库存正常"))</f>
        <v/>
      </c>
      <c r="AF259" s="4">
        <f>MAX(AT259-AA259-AB259,0)</f>
        <v/>
      </c>
      <c r="AG259" s="4">
        <f>MAX(X259-AD259,0)</f>
        <v/>
      </c>
      <c r="AH259" s="4">
        <f>AF259-AG259</f>
        <v/>
      </c>
      <c r="AI259" s="14">
        <f>AX259+(AA259+AB259)/AR259-60</f>
        <v/>
      </c>
      <c r="AJ259" s="4" t="n"/>
      <c r="AK259" s="4" t="n"/>
      <c r="AL259" s="4" t="n"/>
      <c r="AM259" s="4" t="n"/>
      <c r="AN259" s="4">
        <f>ROUND(AJ259/3,0)</f>
        <v/>
      </c>
      <c r="AO259" s="4">
        <f>ROUND(AK259/7,0)</f>
        <v/>
      </c>
      <c r="AP259" s="4">
        <f>ROUND(AL259/15,0)</f>
        <v/>
      </c>
      <c r="AQ259" s="4">
        <f>ROUND(AM259/30,0)</f>
        <v/>
      </c>
      <c r="AR259" s="4" t="n"/>
      <c r="AS259" s="4" t="n"/>
      <c r="AT259" s="4">
        <f>AR259*(W259+7+30)</f>
        <v/>
      </c>
      <c r="AU259" s="4" t="n"/>
      <c r="AV259" s="4">
        <f>MAX(0,AT259-AD259-AC259)</f>
        <v/>
      </c>
      <c r="AW259" s="4" t="n"/>
      <c r="AX259" s="14">
        <f>TODAY()</f>
        <v/>
      </c>
      <c r="AY259" s="4" t="n"/>
      <c r="AZ259" s="4" t="n"/>
      <c r="BA259" s="16" t="n"/>
      <c r="BB259" s="16" t="n"/>
      <c r="BC259" s="16" t="n"/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>
        <f>AR260*(W260+35+10)</f>
        <v/>
      </c>
      <c r="Y260" s="4">
        <f>AR260*(W260+35+10+45)</f>
        <v/>
      </c>
      <c r="Z260" s="4">
        <f>AA260+AB260+AC260</f>
        <v/>
      </c>
      <c r="AA260" s="4" t="n"/>
      <c r="AB260" s="4" t="n"/>
      <c r="AC260" s="4" t="n"/>
      <c r="AD260" s="4">
        <f>AA260+AB260</f>
        <v/>
      </c>
      <c r="AE260" s="13">
        <f>IF(AD260&lt;=AT260,"库存不足",IF(AD260&gt;=AT260*1.5,"库存预警","库存正常"))</f>
        <v/>
      </c>
      <c r="AF260" s="4">
        <f>MAX(AT260-AA260-AB260,0)</f>
        <v/>
      </c>
      <c r="AG260" s="4">
        <f>MAX(X260-AD260,0)</f>
        <v/>
      </c>
      <c r="AH260" s="4">
        <f>AF260-AG260</f>
        <v/>
      </c>
      <c r="AI260" s="14">
        <f>AX260+(AA260+AB260)/AR260-60</f>
        <v/>
      </c>
      <c r="AJ260" s="4" t="n"/>
      <c r="AK260" s="15" t="n"/>
      <c r="AL260" s="15" t="n"/>
      <c r="AM260" s="15" t="n"/>
      <c r="AN260" s="15" t="n"/>
      <c r="AO260" s="4">
        <f>ROUND(AK260/7,0)</f>
        <v/>
      </c>
      <c r="AP260" s="4">
        <f>ROUND(AL260/15,0)</f>
        <v/>
      </c>
      <c r="AQ260" s="4">
        <f>ROUND(AM260/30,0)</f>
        <v/>
      </c>
      <c r="AR260" s="4" t="n"/>
      <c r="AS260" s="4" t="n"/>
      <c r="AT260" s="4">
        <f>AR260*(W260+7+30)</f>
        <v/>
      </c>
      <c r="AU260" s="4" t="n"/>
      <c r="AV260" s="4">
        <f>MAX(0,AT260-AD260-AC260)</f>
        <v/>
      </c>
      <c r="AW260" s="4" t="n"/>
      <c r="AX260" s="14">
        <f>TODAY()</f>
        <v/>
      </c>
      <c r="AY260" s="4" t="n"/>
      <c r="AZ260" s="4" t="n"/>
      <c r="BA260" s="16" t="n"/>
      <c r="BB260" s="16" t="n"/>
      <c r="BC260" s="16" t="n"/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>
        <f>AR261*(W261+30)</f>
        <v/>
      </c>
      <c r="Y261" s="4" t="n"/>
      <c r="Z261" s="4">
        <f>AA261+AB261+AC261</f>
        <v/>
      </c>
      <c r="AA261" s="4" t="n"/>
      <c r="AB261" s="4" t="n"/>
      <c r="AC261" s="4" t="n"/>
      <c r="AD261" s="4">
        <f>AA261+AB261</f>
        <v/>
      </c>
      <c r="AE261" s="13">
        <f>IF(AD261&lt;=AT261,"库存不足",IF(AD261&gt;=AT261*1.5,"库存预警","库存正常"))</f>
        <v/>
      </c>
      <c r="AF261" s="4">
        <f>MAX(AT261-AA261-AB261,0)</f>
        <v/>
      </c>
      <c r="AG261" s="4">
        <f>MAX(X261-AD261,0)</f>
        <v/>
      </c>
      <c r="AH261" s="4">
        <f>AF261-AG261</f>
        <v/>
      </c>
      <c r="AI261" s="14">
        <f>AX261+(AA261+AB261)/AR261-60</f>
        <v/>
      </c>
      <c r="AJ261" s="4" t="n"/>
      <c r="AK261" s="4" t="n"/>
      <c r="AL261" s="4" t="n"/>
      <c r="AM261" s="4" t="n"/>
      <c r="AN261" s="4">
        <f>ROUND(AJ261/3,0)</f>
        <v/>
      </c>
      <c r="AO261" s="4">
        <f>ROUND(AK261/7,0)</f>
        <v/>
      </c>
      <c r="AP261" s="4">
        <f>ROUND(AL261/15,0)</f>
        <v/>
      </c>
      <c r="AQ261" s="4">
        <f>ROUND(AM261/30,0)</f>
        <v/>
      </c>
      <c r="AR261" s="4" t="n"/>
      <c r="AS261" s="4" t="n"/>
      <c r="AT261" s="4">
        <f>AR261*(W261+7+30)</f>
        <v/>
      </c>
      <c r="AU261" s="4" t="n"/>
      <c r="AV261" s="4">
        <f>MAX(0,AT261-AD261-AC261)</f>
        <v/>
      </c>
      <c r="AW261" s="4" t="n"/>
      <c r="AX261" s="14">
        <f>TODAY()</f>
        <v/>
      </c>
      <c r="AY261" s="4" t="n"/>
      <c r="AZ261" s="4" t="n"/>
      <c r="BA261" s="16" t="n"/>
      <c r="BB261" s="16" t="n"/>
      <c r="BC261" s="16" t="n"/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>
        <f>AR262*(W262+30)</f>
        <v/>
      </c>
      <c r="Y262" s="4" t="n"/>
      <c r="Z262" s="4">
        <f>AA262+AB262+AC262</f>
        <v/>
      </c>
      <c r="AA262" s="4" t="n"/>
      <c r="AB262" s="4" t="n"/>
      <c r="AC262" s="4" t="n"/>
      <c r="AD262" s="4">
        <f>AA262+AB262</f>
        <v/>
      </c>
      <c r="AE262" s="13">
        <f>IF(AD262&lt;=AT262,"库存不足",IF(AD262&gt;=AT262*1.5,"库存预警","库存正常"))</f>
        <v/>
      </c>
      <c r="AF262" s="4">
        <f>MAX(AT262-AA262-AB262,0)</f>
        <v/>
      </c>
      <c r="AG262" s="4">
        <f>MAX(X262-AD262,0)</f>
        <v/>
      </c>
      <c r="AH262" s="4">
        <f>AF262-AG262</f>
        <v/>
      </c>
      <c r="AI262" s="14">
        <f>AX262+(AA262+AB262)/AR262-60</f>
        <v/>
      </c>
      <c r="AJ262" s="4" t="n"/>
      <c r="AK262" s="4" t="n"/>
      <c r="AL262" s="4" t="n"/>
      <c r="AM262" s="4" t="n"/>
      <c r="AN262" s="4">
        <f>ROUND(AJ262/3,0)</f>
        <v/>
      </c>
      <c r="AO262" s="4">
        <f>ROUND(AK262/7,0)</f>
        <v/>
      </c>
      <c r="AP262" s="4">
        <f>ROUND(AL262/15,0)</f>
        <v/>
      </c>
      <c r="AQ262" s="4">
        <f>ROUND(AM262/30,0)</f>
        <v/>
      </c>
      <c r="AR262" s="4" t="n"/>
      <c r="AS262" s="4" t="n"/>
      <c r="AT262" s="4">
        <f>AR262*(W262+7+30)</f>
        <v/>
      </c>
      <c r="AU262" s="4" t="n"/>
      <c r="AV262" s="4">
        <f>MAX(0,AT262-AD262-AC262)</f>
        <v/>
      </c>
      <c r="AW262" s="4" t="n"/>
      <c r="AX262" s="14">
        <f>TODAY()</f>
        <v/>
      </c>
      <c r="AY262" s="4" t="n"/>
      <c r="AZ262" s="4" t="n"/>
      <c r="BA262" s="16" t="n"/>
      <c r="BB262" s="16" t="n"/>
      <c r="BC262" s="16" t="n"/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>
        <f>AR263*(W263+30)</f>
        <v/>
      </c>
      <c r="Y263" s="4" t="n"/>
      <c r="Z263" s="4">
        <f>AA263+AB263+AC263</f>
        <v/>
      </c>
      <c r="AA263" s="4" t="n"/>
      <c r="AB263" s="4" t="n"/>
      <c r="AC263" s="4" t="n"/>
      <c r="AD263" s="4">
        <f>AA263+AB263</f>
        <v/>
      </c>
      <c r="AE263" s="13">
        <f>IF(AD263&lt;=AT263,"库存不足",IF(AD263&gt;=AT263*1.5,"库存预警","库存正常"))</f>
        <v/>
      </c>
      <c r="AF263" s="4">
        <f>MAX(AT263-AA263-AB263,0)</f>
        <v/>
      </c>
      <c r="AG263" s="4">
        <f>MAX(X263-AD263,0)</f>
        <v/>
      </c>
      <c r="AH263" s="4">
        <f>AF263-AG263</f>
        <v/>
      </c>
      <c r="AI263" s="14">
        <f>AX263+(AA263+AB263)/AR263-60</f>
        <v/>
      </c>
      <c r="AJ263" s="4" t="n"/>
      <c r="AK263" s="4" t="n"/>
      <c r="AL263" s="4" t="n"/>
      <c r="AM263" s="4" t="n"/>
      <c r="AN263" s="4">
        <f>ROUND(AJ263/3,0)</f>
        <v/>
      </c>
      <c r="AO263" s="4">
        <f>ROUND(AK263/7,0)</f>
        <v/>
      </c>
      <c r="AP263" s="4">
        <f>ROUND(AL263/15,0)</f>
        <v/>
      </c>
      <c r="AQ263" s="4">
        <f>ROUND(AM263/30,0)</f>
        <v/>
      </c>
      <c r="AR263" s="4" t="n"/>
      <c r="AS263" s="4" t="n"/>
      <c r="AT263" s="4">
        <f>AR263*(W263+7+30)</f>
        <v/>
      </c>
      <c r="AU263" s="4" t="n"/>
      <c r="AV263" s="4">
        <f>MAX(0,AT263-AD263-AC263)</f>
        <v/>
      </c>
      <c r="AW263" s="4" t="n"/>
      <c r="AX263" s="14">
        <f>TODAY()</f>
        <v/>
      </c>
      <c r="AY263" s="4" t="n"/>
      <c r="AZ263" s="4" t="n"/>
      <c r="BA263" s="16" t="n"/>
      <c r="BB263" s="16" t="n"/>
      <c r="BC263" s="16" t="n"/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>
        <f>AR264*(W264+30)</f>
        <v/>
      </c>
      <c r="Y264" s="4" t="n"/>
      <c r="Z264" s="4">
        <f>AA264+AB264+AC264</f>
        <v/>
      </c>
      <c r="AA264" s="4" t="n"/>
      <c r="AB264" s="4" t="n"/>
      <c r="AC264" s="4" t="n"/>
      <c r="AD264" s="4">
        <f>AA264+AB264</f>
        <v/>
      </c>
      <c r="AE264" s="13">
        <f>IF(AD264&lt;=AT264,"库存不足",IF(AD264&gt;=AT264*1.5,"库存预警","库存正常"))</f>
        <v/>
      </c>
      <c r="AF264" s="4">
        <f>MAX(AT264-AA264-AB264,0)</f>
        <v/>
      </c>
      <c r="AG264" s="4">
        <f>MAX(X264-AD264,0)</f>
        <v/>
      </c>
      <c r="AH264" s="4">
        <f>AF264-AG264</f>
        <v/>
      </c>
      <c r="AI264" s="14">
        <f>AX264+(AA264+AB264)/AR264-60</f>
        <v/>
      </c>
      <c r="AJ264" s="4" t="n"/>
      <c r="AK264" s="4" t="n"/>
      <c r="AL264" s="4" t="n"/>
      <c r="AM264" s="4" t="n"/>
      <c r="AN264" s="4">
        <f>ROUND(AJ264/3,0)</f>
        <v/>
      </c>
      <c r="AO264" s="4">
        <f>ROUND(AK264/7,0)</f>
        <v/>
      </c>
      <c r="AP264" s="4">
        <f>ROUND(AL264/15,0)</f>
        <v/>
      </c>
      <c r="AQ264" s="4">
        <f>ROUND(AM264/30,0)</f>
        <v/>
      </c>
      <c r="AR264" s="4" t="n"/>
      <c r="AS264" s="4" t="n"/>
      <c r="AT264" s="4">
        <f>AR264*(W264+7+30)</f>
        <v/>
      </c>
      <c r="AU264" s="4" t="n"/>
      <c r="AV264" s="4">
        <f>MAX(0,AT264-AD264-AC264)</f>
        <v/>
      </c>
      <c r="AW264" s="4" t="n"/>
      <c r="AX264" s="14">
        <f>TODAY()</f>
        <v/>
      </c>
      <c r="AY264" s="4" t="n"/>
      <c r="AZ264" s="4" t="n"/>
      <c r="BA264" s="16" t="n"/>
      <c r="BB264" s="16" t="n"/>
      <c r="BC264" s="16" t="n"/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>
        <f>AR265*(W265+35+10)</f>
        <v/>
      </c>
      <c r="Y265" s="4">
        <f>AR265*(W265+35+10+45)</f>
        <v/>
      </c>
      <c r="Z265" s="4">
        <f>AA265+AB265+AC265</f>
        <v/>
      </c>
      <c r="AA265" s="4" t="n"/>
      <c r="AB265" s="4" t="n"/>
      <c r="AC265" s="4" t="n"/>
      <c r="AD265" s="4">
        <f>AA265+AB265</f>
        <v/>
      </c>
      <c r="AE265" s="13">
        <f>IF(AD265&lt;=AT265,"库存不足",IF(AD265&gt;=AT265*1.5,"库存预警","库存正常"))</f>
        <v/>
      </c>
      <c r="AF265" s="4">
        <f>MAX(AT265-AA265-AB265,0)</f>
        <v/>
      </c>
      <c r="AG265" s="4">
        <f>MAX(X265-AD265,0)</f>
        <v/>
      </c>
      <c r="AH265" s="4">
        <f>AF265-AG265</f>
        <v/>
      </c>
      <c r="AI265" s="14">
        <f>AX265+(AA265+AB265)/AR265-60</f>
        <v/>
      </c>
      <c r="AJ265" s="4" t="n"/>
      <c r="AK265" s="15" t="n"/>
      <c r="AL265" s="15" t="n"/>
      <c r="AM265" s="15" t="n"/>
      <c r="AN265" s="15" t="n"/>
      <c r="AO265" s="4">
        <f>ROUND(AK265/7,0)</f>
        <v/>
      </c>
      <c r="AP265" s="4">
        <f>ROUND(AL265/15,0)</f>
        <v/>
      </c>
      <c r="AQ265" s="4">
        <f>ROUND(AM265/30,0)</f>
        <v/>
      </c>
      <c r="AR265" s="4" t="n"/>
      <c r="AS265" s="4" t="n"/>
      <c r="AT265" s="4">
        <f>AR265*(W265+7+30)</f>
        <v/>
      </c>
      <c r="AU265" s="4" t="n"/>
      <c r="AV265" s="4">
        <f>MAX(0,AT265-AD265-AC265)</f>
        <v/>
      </c>
      <c r="AW265" s="4" t="n"/>
      <c r="AX265" s="14">
        <f>TODAY()</f>
        <v/>
      </c>
      <c r="AY265" s="4" t="n"/>
      <c r="AZ265" s="4" t="n"/>
      <c r="BA265" s="16" t="n"/>
      <c r="BB265" s="16" t="n"/>
      <c r="BC265" s="16" t="n"/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>
        <f>AR266*(W266+35+10)</f>
        <v/>
      </c>
      <c r="Y266" s="4">
        <f>AR266*(W266+35+10+45)</f>
        <v/>
      </c>
      <c r="Z266" s="4">
        <f>AA266+AB266+AC266</f>
        <v/>
      </c>
      <c r="AA266" s="4" t="n"/>
      <c r="AB266" s="4" t="n"/>
      <c r="AC266" s="4" t="n"/>
      <c r="AD266" s="4">
        <f>AA266+AB266</f>
        <v/>
      </c>
      <c r="AE266" s="13">
        <f>IF(AD266&lt;=AT266,"库存不足",IF(AD266&gt;=AT266*1.5,"库存预警","库存正常"))</f>
        <v/>
      </c>
      <c r="AF266" s="4">
        <f>MAX(AT266-AA266-AB266,0)</f>
        <v/>
      </c>
      <c r="AG266" s="4">
        <f>MAX(X266-AD266,0)</f>
        <v/>
      </c>
      <c r="AH266" s="4">
        <f>AF266-AG266</f>
        <v/>
      </c>
      <c r="AI266" s="14">
        <f>AX266+(AA266+AB266)/AR266-60</f>
        <v/>
      </c>
      <c r="AJ266" s="4" t="n"/>
      <c r="AK266" s="4" t="n"/>
      <c r="AL266" s="4" t="n"/>
      <c r="AM266" s="4" t="n"/>
      <c r="AN266" s="4">
        <f>ROUND(AJ266/3,0)</f>
        <v/>
      </c>
      <c r="AO266" s="4">
        <f>ROUND(AK266/7,0)</f>
        <v/>
      </c>
      <c r="AP266" s="4">
        <f>ROUND(AL266/15,0)</f>
        <v/>
      </c>
      <c r="AQ266" s="4">
        <f>ROUND(AM266/30,0)</f>
        <v/>
      </c>
      <c r="AR266" s="4" t="n"/>
      <c r="AS266" s="4" t="n"/>
      <c r="AT266" s="4">
        <f>AR266*(W266+7+30)</f>
        <v/>
      </c>
      <c r="AU266" s="4" t="n"/>
      <c r="AV266" s="4">
        <f>MAX(0,AT266-AD266-AC266)</f>
        <v/>
      </c>
      <c r="AW266" s="4" t="n"/>
      <c r="AX266" s="14">
        <f>TODAY()</f>
        <v/>
      </c>
      <c r="AY266" s="4" t="n"/>
      <c r="AZ266" s="4" t="n"/>
      <c r="BA266" s="16" t="n"/>
      <c r="BB266" s="16" t="n"/>
      <c r="BC266" s="16" t="n"/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>
        <f>AR267*(W267+35+10)</f>
        <v/>
      </c>
      <c r="Y267" s="4">
        <f>AR267*(W267+35+10+45)</f>
        <v/>
      </c>
      <c r="Z267" s="4">
        <f>AA267+AB267+AC267</f>
        <v/>
      </c>
      <c r="AA267" s="4" t="n"/>
      <c r="AB267" s="4" t="n"/>
      <c r="AC267" s="4" t="n"/>
      <c r="AD267" s="4">
        <f>AA267+AB267</f>
        <v/>
      </c>
      <c r="AE267" s="13">
        <f>IF(AD267&lt;=AT267,"库存不足",IF(AD267&gt;=AT267*1.5,"库存预警","库存正常"))</f>
        <v/>
      </c>
      <c r="AF267" s="4">
        <f>MAX(AT267-AA267-AB267,0)</f>
        <v/>
      </c>
      <c r="AG267" s="4">
        <f>MAX(X267-AD267,0)</f>
        <v/>
      </c>
      <c r="AH267" s="4">
        <f>AF267-AG267</f>
        <v/>
      </c>
      <c r="AI267" s="14">
        <f>AX267+(AA267+AB267)/AR267-60</f>
        <v/>
      </c>
      <c r="AJ267" s="4" t="n"/>
      <c r="AK267" s="4" t="n"/>
      <c r="AL267" s="4" t="n"/>
      <c r="AM267" s="4" t="n"/>
      <c r="AN267" s="4">
        <f>ROUND(AJ267/3,0)</f>
        <v/>
      </c>
      <c r="AO267" s="4">
        <f>ROUND(AK267/7,0)</f>
        <v/>
      </c>
      <c r="AP267" s="4">
        <f>ROUND(AL267/15,0)</f>
        <v/>
      </c>
      <c r="AQ267" s="4">
        <f>ROUND(AM267/30,0)</f>
        <v/>
      </c>
      <c r="AR267" s="4" t="n"/>
      <c r="AS267" s="4" t="n"/>
      <c r="AT267" s="4">
        <f>AR267*(W267+7+30)</f>
        <v/>
      </c>
      <c r="AU267" s="4" t="n"/>
      <c r="AV267" s="4">
        <f>MAX(0,AT267-AD267-AC267)</f>
        <v/>
      </c>
      <c r="AW267" s="4" t="n"/>
      <c r="AX267" s="14">
        <f>TODAY()</f>
        <v/>
      </c>
      <c r="AY267" s="4" t="n"/>
      <c r="AZ267" s="4" t="n"/>
      <c r="BA267" s="16" t="n"/>
      <c r="BB267" s="16" t="n"/>
      <c r="BC267" s="16" t="n"/>
    </row>
    <row r="268" ht="14.25" customHeight="1" s="31">
      <c r="A268" s="4" t="n"/>
      <c r="B268" s="4" t="n"/>
      <c r="C268" s="4" t="n"/>
      <c r="D268" s="4" t="n"/>
      <c r="E268" s="19" t="n"/>
      <c r="F268" s="4" t="n"/>
      <c r="G268" s="4" t="n"/>
      <c r="H268" s="4" t="n"/>
      <c r="I268" s="4" t="n"/>
      <c r="J268" s="4">
        <f>K268*1000</f>
        <v/>
      </c>
      <c r="K268" s="4" t="n"/>
      <c r="L268" s="4" t="n"/>
      <c r="M268" s="4" t="n"/>
      <c r="N268" s="4" t="n"/>
      <c r="O268" s="4" t="n"/>
      <c r="P268" s="4" t="n"/>
      <c r="Q268" s="4">
        <f>L268*M268*N268/1000000</f>
        <v/>
      </c>
      <c r="R268" s="4" t="n"/>
      <c r="S268" s="4" t="n"/>
      <c r="T268" s="4" t="n"/>
      <c r="U268" s="4" t="n"/>
      <c r="V268" s="4" t="n"/>
      <c r="W268" s="4" t="n"/>
      <c r="X268" s="4">
        <f>AR268*(W268+35+10)</f>
        <v/>
      </c>
      <c r="Y268" s="4">
        <f>AR268*(W268+35+10+45)</f>
        <v/>
      </c>
      <c r="Z268" s="4">
        <f>AA268+AB268+AC268</f>
        <v/>
      </c>
      <c r="AA268" s="4" t="n"/>
      <c r="AB268" s="4" t="n"/>
      <c r="AC268" s="4" t="n"/>
      <c r="AD268" s="4">
        <f>AA268+AB268</f>
        <v/>
      </c>
      <c r="AE268" s="13">
        <f>IF(AD268&lt;=AT268,"库存不足",IF(AD268&gt;=AT268*1.5,"库存预警","库存正常"))</f>
        <v/>
      </c>
      <c r="AF268" s="4">
        <f>MAX(AT268-AA268-AB268,0)</f>
        <v/>
      </c>
      <c r="AG268" s="4">
        <f>MAX(X268-AD268,0)</f>
        <v/>
      </c>
      <c r="AH268" s="4">
        <f>AF268-AG268</f>
        <v/>
      </c>
      <c r="AI268" s="14">
        <f>AX268+(AA268+AB268)/AR268-60</f>
        <v/>
      </c>
      <c r="AJ268" s="4" t="n"/>
      <c r="AK268" s="15" t="n"/>
      <c r="AL268" s="15" t="n"/>
      <c r="AM268" s="15" t="n"/>
      <c r="AN268" s="15" t="n"/>
      <c r="AO268" s="4">
        <f>ROUND(AK268/7,0)</f>
        <v/>
      </c>
      <c r="AP268" s="4">
        <f>ROUND(AL268/15,0)</f>
        <v/>
      </c>
      <c r="AQ268" s="4">
        <f>ROUND(AM268/30,0)</f>
        <v/>
      </c>
      <c r="AR268" s="4" t="n"/>
      <c r="AS268" s="4" t="n"/>
      <c r="AT268" s="4">
        <f>AR268*(W268+7+30)</f>
        <v/>
      </c>
      <c r="AU268" s="4" t="n"/>
      <c r="AV268" s="4">
        <f>MAX(0,AT268-AD268-AC268)</f>
        <v/>
      </c>
      <c r="AW268" s="4" t="n"/>
      <c r="AX268" s="14">
        <f>TODAY()</f>
        <v/>
      </c>
      <c r="AY268" s="4" t="n"/>
      <c r="AZ268" s="4" t="n"/>
      <c r="BA268" s="16" t="n"/>
      <c r="BB268" s="16" t="n"/>
      <c r="BC268" s="16" t="n"/>
    </row>
    <row r="269" ht="14.25" customHeight="1" s="31">
      <c r="A269" s="4" t="n"/>
      <c r="B269" s="4" t="n"/>
      <c r="C269" s="4" t="n"/>
      <c r="D269" s="4" t="n"/>
      <c r="E269" s="19" t="n"/>
      <c r="F269" s="4" t="n"/>
      <c r="G269" s="4" t="n"/>
      <c r="H269" s="4" t="n"/>
      <c r="I269" s="4" t="n"/>
      <c r="J269" s="4">
        <f>K269*1000</f>
        <v/>
      </c>
      <c r="K269" s="4" t="n"/>
      <c r="L269" s="4" t="n"/>
      <c r="M269" s="4" t="n"/>
      <c r="N269" s="4" t="n"/>
      <c r="O269" s="4" t="n"/>
      <c r="P269" s="4" t="n"/>
      <c r="Q269" s="4">
        <f>L269*M269*N269/1000000</f>
        <v/>
      </c>
      <c r="R269" s="4" t="n"/>
      <c r="S269" s="4" t="n"/>
      <c r="T269" s="4" t="n"/>
      <c r="U269" s="4" t="n"/>
      <c r="V269" s="4" t="n"/>
      <c r="W269" s="4" t="n"/>
      <c r="X269" s="4">
        <f>AR269*(W269+35+10)</f>
        <v/>
      </c>
      <c r="Y269" s="4">
        <f>AR269*(W269+35+10+45)</f>
        <v/>
      </c>
      <c r="Z269" s="4">
        <f>AA269+AB269+AC269</f>
        <v/>
      </c>
      <c r="AA269" s="4" t="n"/>
      <c r="AB269" s="4" t="n"/>
      <c r="AC269" s="4" t="n"/>
      <c r="AD269" s="4">
        <f>AA269+AB269</f>
        <v/>
      </c>
      <c r="AE269" s="13">
        <f>IF(AD269&lt;=AT269,"库存不足",IF(AD269&gt;=AT269*1.5,"库存预警","库存正常"))</f>
        <v/>
      </c>
      <c r="AF269" s="4">
        <f>MAX(AT269-AA269-AB269,0)</f>
        <v/>
      </c>
      <c r="AG269" s="4">
        <f>MAX(X269-AD269,0)</f>
        <v/>
      </c>
      <c r="AH269" s="4">
        <f>AF269-AG269</f>
        <v/>
      </c>
      <c r="AI269" s="14">
        <f>AX269+(AA269+AB269)/AR269-60</f>
        <v/>
      </c>
      <c r="AJ269" s="4" t="n"/>
      <c r="AK269" s="15" t="n"/>
      <c r="AL269" s="15" t="n"/>
      <c r="AM269" s="15" t="n"/>
      <c r="AN269" s="15" t="n"/>
      <c r="AO269" s="4">
        <f>ROUND(AK269/7,0)</f>
        <v/>
      </c>
      <c r="AP269" s="4">
        <f>ROUND(AL269/15,0)</f>
        <v/>
      </c>
      <c r="AQ269" s="4">
        <f>ROUND(AM269/30,0)</f>
        <v/>
      </c>
      <c r="AR269" s="4" t="n"/>
      <c r="AS269" s="4" t="n"/>
      <c r="AT269" s="4">
        <f>AR269*(W269+7+30)</f>
        <v/>
      </c>
      <c r="AU269" s="4" t="n"/>
      <c r="AV269" s="4">
        <f>MAX(0,AT269-AD269-AC269)</f>
        <v/>
      </c>
      <c r="AW269" s="4" t="n"/>
      <c r="AX269" s="14">
        <f>TODAY()</f>
        <v/>
      </c>
      <c r="AY269" s="4" t="n"/>
      <c r="AZ269" s="4" t="n"/>
      <c r="BA269" s="16" t="n"/>
      <c r="BB269" s="16" t="n"/>
      <c r="BC269" s="16" t="n"/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>
        <f>K270*1000</f>
        <v/>
      </c>
      <c r="K270" s="4" t="n"/>
      <c r="L270" s="4" t="n"/>
      <c r="M270" s="4" t="n"/>
      <c r="N270" s="4" t="n"/>
      <c r="O270" s="4" t="n"/>
      <c r="P270" s="4" t="n"/>
      <c r="Q270" s="4">
        <f>L270*M270*N270/1000000</f>
        <v/>
      </c>
      <c r="R270" s="4" t="n"/>
      <c r="S270" s="4" t="n"/>
      <c r="T270" s="4" t="n"/>
      <c r="U270" s="4" t="n"/>
      <c r="V270" s="4" t="n"/>
      <c r="W270" s="4" t="n"/>
      <c r="X270" s="4">
        <f>AR270*(W270+35+10)</f>
        <v/>
      </c>
      <c r="Y270" s="4">
        <f>AR270*(W270+35+10+45)</f>
        <v/>
      </c>
      <c r="Z270" s="4">
        <f>AA270+AB270+AC270</f>
        <v/>
      </c>
      <c r="AA270" s="4" t="n"/>
      <c r="AB270" s="4" t="n"/>
      <c r="AC270" s="4" t="n"/>
      <c r="AD270" s="4">
        <f>AA270+AB270</f>
        <v/>
      </c>
      <c r="AE270" s="13">
        <f>IF(AD270&lt;=AT270,"库存不足",IF(AD270&gt;=AT270*1.5,"库存预警","库存正常"))</f>
        <v/>
      </c>
      <c r="AF270" s="4">
        <f>MAX(AT270-AA270-AB270,0)</f>
        <v/>
      </c>
      <c r="AG270" s="4">
        <f>MAX(X270-AD270,0)</f>
        <v/>
      </c>
      <c r="AH270" s="4">
        <f>AF270-AG270</f>
        <v/>
      </c>
      <c r="AI270" s="14">
        <f>AX270+(AA270+AB270)/AR270-60</f>
        <v/>
      </c>
      <c r="AJ270" s="4" t="n"/>
      <c r="AK270" s="15" t="n"/>
      <c r="AL270" s="15" t="n"/>
      <c r="AM270" s="15" t="n"/>
      <c r="AN270" s="15" t="n"/>
      <c r="AO270" s="4">
        <f>ROUND(AK270/7,0)</f>
        <v/>
      </c>
      <c r="AP270" s="4">
        <f>ROUND(AL270/15,0)</f>
        <v/>
      </c>
      <c r="AQ270" s="4">
        <f>ROUND(AM270/30,0)</f>
        <v/>
      </c>
      <c r="AR270" s="4" t="n"/>
      <c r="AS270" s="4" t="n"/>
      <c r="AT270" s="4">
        <f>AR270*(W270+7+30)</f>
        <v/>
      </c>
      <c r="AU270" s="4" t="n"/>
      <c r="AV270" s="4">
        <f>MAX(0,AT270-AD270-AC270)</f>
        <v/>
      </c>
      <c r="AW270" s="4" t="n"/>
      <c r="AX270" s="14">
        <f>TODAY()</f>
        <v/>
      </c>
      <c r="AY270" s="4" t="n"/>
      <c r="AZ270" s="4" t="n"/>
      <c r="BA270" s="16" t="n"/>
      <c r="BB270" s="16" t="n"/>
      <c r="BC270" s="16" t="n"/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>
        <f>K271*1000</f>
        <v/>
      </c>
      <c r="K271" s="4" t="n"/>
      <c r="L271" s="4" t="n"/>
      <c r="M271" s="4" t="n"/>
      <c r="N271" s="4" t="n"/>
      <c r="O271" s="4" t="n"/>
      <c r="P271" s="4" t="n"/>
      <c r="Q271" s="4">
        <f>L271*M271*N271/1000000</f>
        <v/>
      </c>
      <c r="R271" s="4" t="n"/>
      <c r="S271" s="4" t="n"/>
      <c r="T271" s="4" t="n"/>
      <c r="U271" s="4" t="n"/>
      <c r="V271" s="4" t="n"/>
      <c r="W271" s="4" t="n"/>
      <c r="X271" s="4">
        <f>AR271*(W271+35+10)</f>
        <v/>
      </c>
      <c r="Y271" s="4">
        <f>AR271*(W271+35+10+45)</f>
        <v/>
      </c>
      <c r="Z271" s="4">
        <f>AA271+AB271+AC271</f>
        <v/>
      </c>
      <c r="AA271" s="4" t="n"/>
      <c r="AB271" s="4" t="n"/>
      <c r="AC271" s="4" t="n"/>
      <c r="AD271" s="4">
        <f>AA271+AB271</f>
        <v/>
      </c>
      <c r="AE271" s="13">
        <f>IF(AD271&lt;=AT271,"库存不足",IF(AD271&gt;=AT271*1.5,"库存预警","库存正常"))</f>
        <v/>
      </c>
      <c r="AF271" s="4">
        <f>MAX(AT271-AA271-AB271,0)</f>
        <v/>
      </c>
      <c r="AG271" s="4">
        <f>MAX(X271-AD271,0)</f>
        <v/>
      </c>
      <c r="AH271" s="4">
        <f>AF271-AG271</f>
        <v/>
      </c>
      <c r="AI271" s="14">
        <f>AX271+(AA271+AB271)/AR271-60</f>
        <v/>
      </c>
      <c r="AJ271" s="4" t="n"/>
      <c r="AK271" s="15" t="n"/>
      <c r="AL271" s="15" t="n"/>
      <c r="AM271" s="15" t="n"/>
      <c r="AN271" s="15" t="n"/>
      <c r="AO271" s="4">
        <f>ROUND(AK271/7,0)</f>
        <v/>
      </c>
      <c r="AP271" s="4">
        <f>ROUND(AL271/15,0)</f>
        <v/>
      </c>
      <c r="AQ271" s="4">
        <f>ROUND(AM271/30,0)</f>
        <v/>
      </c>
      <c r="AR271" s="4" t="n"/>
      <c r="AS271" s="4" t="n"/>
      <c r="AT271" s="4">
        <f>AR271*(W271+7+30)</f>
        <v/>
      </c>
      <c r="AU271" s="4" t="n"/>
      <c r="AV271" s="4">
        <f>MAX(0,AT271-AD271-AC271)</f>
        <v/>
      </c>
      <c r="AW271" s="4" t="n"/>
      <c r="AX271" s="14">
        <f>TODAY()</f>
        <v/>
      </c>
      <c r="AY271" s="4" t="n"/>
      <c r="AZ271" s="4" t="n"/>
      <c r="BA271" s="16" t="n"/>
      <c r="BB271" s="16" t="n"/>
      <c r="BC271" s="16" t="n"/>
    </row>
    <row r="272" ht="14.25" customHeight="1" s="31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36" t="n"/>
      <c r="R272" s="19" t="n"/>
      <c r="S272" s="19" t="n"/>
      <c r="T272" s="4" t="n"/>
      <c r="U272" s="4" t="n"/>
      <c r="V272" s="4" t="n"/>
      <c r="W272" s="4" t="n"/>
      <c r="X272" s="4">
        <f>AR272*(W272+35+10)</f>
        <v/>
      </c>
      <c r="Y272" s="4">
        <f>AR272*(W272+35+10+45)</f>
        <v/>
      </c>
      <c r="Z272" s="4">
        <f>AA272+AB272+AC272</f>
        <v/>
      </c>
      <c r="AA272" s="4" t="n"/>
      <c r="AB272" s="4" t="n"/>
      <c r="AC272" s="4" t="n"/>
      <c r="AD272" s="4">
        <f>AA272+AB272</f>
        <v/>
      </c>
      <c r="AE272" s="13">
        <f>IF(AD272&lt;=AT272,"库存不足",IF(AD272&gt;=AT272*1.5,"库存预警","库存正常"))</f>
        <v/>
      </c>
      <c r="AF272" s="4">
        <f>MAX(AT272-AA272-AB272,0)</f>
        <v/>
      </c>
      <c r="AG272" s="4">
        <f>MAX(X272-AD272,0)</f>
        <v/>
      </c>
      <c r="AH272" s="4">
        <f>AF272-AG272</f>
        <v/>
      </c>
      <c r="AI272" s="14">
        <f>AX272+(AA272+AB272)/AR272-60</f>
        <v/>
      </c>
      <c r="AJ272" s="4" t="n"/>
      <c r="AK272" s="15" t="n"/>
      <c r="AL272" s="15" t="n"/>
      <c r="AM272" s="15" t="n"/>
      <c r="AN272" s="15" t="n"/>
      <c r="AO272" s="4">
        <f>ROUND(AK272/7,0)</f>
        <v/>
      </c>
      <c r="AP272" s="4">
        <f>ROUND(AL272/15,0)</f>
        <v/>
      </c>
      <c r="AQ272" s="4">
        <f>ROUND(AM272/30,0)</f>
        <v/>
      </c>
      <c r="AR272" s="4" t="n"/>
      <c r="AS272" s="4" t="n"/>
      <c r="AT272" s="4">
        <f>AR272*(W272+7+30)</f>
        <v/>
      </c>
      <c r="AU272" s="4" t="n"/>
      <c r="AV272" s="4">
        <f>MAX(0,AT272-AD272-AC272)</f>
        <v/>
      </c>
      <c r="AW272" s="4" t="n"/>
      <c r="AX272" s="14">
        <f>TODAY()</f>
        <v/>
      </c>
      <c r="AY272" s="4" t="n"/>
      <c r="AZ272" s="4" t="n"/>
      <c r="BA272" s="16" t="n"/>
      <c r="BB272" s="16" t="n"/>
      <c r="BC272" s="16" t="n"/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>
        <f>L273*M273*N273/1000000</f>
        <v/>
      </c>
      <c r="R273" s="4" t="n"/>
      <c r="S273" s="4" t="n"/>
      <c r="T273" s="4" t="n"/>
      <c r="U273" s="4" t="n"/>
      <c r="V273" s="4" t="n"/>
      <c r="W273" s="4" t="n"/>
      <c r="X273" s="4">
        <f>AR273*(W273+35+10)</f>
        <v/>
      </c>
      <c r="Y273" s="4">
        <f>AR273*(W273+35+10+45)</f>
        <v/>
      </c>
      <c r="Z273" s="4">
        <f>AA273+AB273+AC273</f>
        <v/>
      </c>
      <c r="AA273" s="4" t="n"/>
      <c r="AB273" s="4" t="n"/>
      <c r="AC273" s="4" t="n"/>
      <c r="AD273" s="4">
        <f>AA273+AB273</f>
        <v/>
      </c>
      <c r="AE273" s="13">
        <f>IF(AD273&lt;=AT273,"库存不足",IF(AD273&gt;=AT273*1.5,"库存预警","库存正常"))</f>
        <v/>
      </c>
      <c r="AF273" s="4">
        <f>MAX(AT273-AA273-AB273,0)</f>
        <v/>
      </c>
      <c r="AG273" s="4">
        <f>MAX(X273-AD273,0)</f>
        <v/>
      </c>
      <c r="AH273" s="4">
        <f>AF273-AG273</f>
        <v/>
      </c>
      <c r="AI273" s="14">
        <f>AX273+(AA273+AB273)/AR273-60</f>
        <v/>
      </c>
      <c r="AJ273" s="4" t="n"/>
      <c r="AK273" s="15" t="n"/>
      <c r="AL273" s="15" t="n"/>
      <c r="AM273" s="15" t="n"/>
      <c r="AN273" s="15" t="n"/>
      <c r="AO273" s="4">
        <f>ROUND(AK273/7,0)</f>
        <v/>
      </c>
      <c r="AP273" s="4">
        <f>ROUND(AL273/15,0)</f>
        <v/>
      </c>
      <c r="AQ273" s="4">
        <f>ROUND(AM273/30,0)</f>
        <v/>
      </c>
      <c r="AR273" s="4" t="n"/>
      <c r="AS273" s="4" t="n"/>
      <c r="AT273" s="4">
        <f>AR273*(W273+7+30)</f>
        <v/>
      </c>
      <c r="AU273" s="4" t="n"/>
      <c r="AV273" s="4">
        <f>MAX(0,AT273-AD273-AC273)</f>
        <v/>
      </c>
      <c r="AW273" s="4" t="n"/>
      <c r="AX273" s="14">
        <f>TODAY()</f>
        <v/>
      </c>
      <c r="AY273" s="4" t="n"/>
      <c r="AZ273" s="4" t="n"/>
      <c r="BA273" s="16" t="n"/>
      <c r="BB273" s="16" t="n"/>
      <c r="BC273" s="16" t="n"/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>
        <f>L274*M274*N274/1000000</f>
        <v/>
      </c>
      <c r="R274" s="4" t="n"/>
      <c r="S274" s="4" t="n"/>
      <c r="T274" s="4" t="n"/>
      <c r="U274" s="4" t="n"/>
      <c r="V274" s="4" t="n"/>
      <c r="W274" s="4" t="n"/>
      <c r="X274" s="4">
        <f>AR274*(W274+35+10)</f>
        <v/>
      </c>
      <c r="Y274" s="4">
        <f>AR274*(W274+35+10+45)</f>
        <v/>
      </c>
      <c r="Z274" s="4">
        <f>AA274+AB274+AC274</f>
        <v/>
      </c>
      <c r="AA274" s="4" t="n"/>
      <c r="AB274" s="4" t="n"/>
      <c r="AC274" s="4" t="n"/>
      <c r="AD274" s="4">
        <f>AA274+AB274</f>
        <v/>
      </c>
      <c r="AE274" s="13">
        <f>IF(AD274&lt;=AT274,"库存不足",IF(AD274&gt;=AT274*1.5,"库存预警","库存正常"))</f>
        <v/>
      </c>
      <c r="AF274" s="4">
        <f>MAX(AT274-AA274-AB274,0)</f>
        <v/>
      </c>
      <c r="AG274" s="4">
        <f>MAX(X274-AD274,0)</f>
        <v/>
      </c>
      <c r="AH274" s="4">
        <f>AF274-AG274</f>
        <v/>
      </c>
      <c r="AI274" s="14">
        <f>AX274+(AA274+AB274)/AR274-60</f>
        <v/>
      </c>
      <c r="AJ274" s="4" t="n"/>
      <c r="AK274" s="15" t="n"/>
      <c r="AL274" s="15" t="n"/>
      <c r="AM274" s="15" t="n"/>
      <c r="AN274" s="15" t="n"/>
      <c r="AO274" s="4">
        <f>ROUND(AK274/7,0)</f>
        <v/>
      </c>
      <c r="AP274" s="4">
        <f>ROUND(AL274/15,0)</f>
        <v/>
      </c>
      <c r="AQ274" s="4">
        <f>ROUND(AM274/30,0)</f>
        <v/>
      </c>
      <c r="AR274" s="4" t="n"/>
      <c r="AS274" s="4" t="n"/>
      <c r="AT274" s="4">
        <f>AR274*(W274+7+30)</f>
        <v/>
      </c>
      <c r="AU274" s="4" t="n"/>
      <c r="AV274" s="4">
        <f>MAX(0,AT274-AD274-AC274)</f>
        <v/>
      </c>
      <c r="AW274" s="4" t="n"/>
      <c r="AX274" s="14">
        <f>TODAY()</f>
        <v/>
      </c>
      <c r="AY274" s="4" t="n"/>
      <c r="AZ274" s="4" t="n"/>
      <c r="BA274" s="16" t="n"/>
      <c r="BB274" s="16" t="n"/>
      <c r="BC274" s="16" t="n"/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>
        <f>L275*M275*N275/1000000</f>
        <v/>
      </c>
      <c r="R275" s="4" t="n"/>
      <c r="S275" s="4" t="n"/>
      <c r="T275" s="4" t="n"/>
      <c r="U275" s="4" t="n"/>
      <c r="V275" s="4" t="n"/>
      <c r="W275" s="4" t="n"/>
      <c r="X275" s="4">
        <f>AR275*(W275+30)</f>
        <v/>
      </c>
      <c r="Y275" s="4" t="n"/>
      <c r="Z275" s="4">
        <f>AA275+AB275+AC275</f>
        <v/>
      </c>
      <c r="AA275" s="4" t="n"/>
      <c r="AB275" s="4" t="n"/>
      <c r="AC275" s="4" t="n"/>
      <c r="AD275" s="4">
        <f>AA275+AB275</f>
        <v/>
      </c>
      <c r="AE275" s="13">
        <f>IF(AD275&lt;=AT275,"库存不足",IF(AD275&gt;=AT275*1.5,"库存预警","库存正常"))</f>
        <v/>
      </c>
      <c r="AF275" s="4">
        <f>MAX(AT275-AA275-AB275,0)</f>
        <v/>
      </c>
      <c r="AG275" s="4">
        <f>MAX(X275-AD275,0)</f>
        <v/>
      </c>
      <c r="AH275" s="4">
        <f>AF275-AG275</f>
        <v/>
      </c>
      <c r="AI275" s="14">
        <f>AX275+(AA275+AB275)/AR275-60</f>
        <v/>
      </c>
      <c r="AJ275" s="4" t="n"/>
      <c r="AK275" s="4" t="n"/>
      <c r="AL275" s="4" t="n"/>
      <c r="AM275" s="4" t="n"/>
      <c r="AN275" s="4">
        <f>ROUND(AJ275/3,0)</f>
        <v/>
      </c>
      <c r="AO275" s="4">
        <f>ROUND(AK275/7,0)</f>
        <v/>
      </c>
      <c r="AP275" s="4">
        <f>ROUND(AL275/15,0)</f>
        <v/>
      </c>
      <c r="AQ275" s="4">
        <f>ROUND(AM275/30,0)</f>
        <v/>
      </c>
      <c r="AR275" s="4" t="n"/>
      <c r="AS275" s="4" t="n"/>
      <c r="AT275" s="4">
        <f>AR275*(W275+7+30)</f>
        <v/>
      </c>
      <c r="AU275" s="4" t="n"/>
      <c r="AV275" s="4">
        <f>MAX(0,AT275-AD275-AC275)</f>
        <v/>
      </c>
      <c r="AW275" s="4" t="n"/>
      <c r="AX275" s="14">
        <f>TODAY()</f>
        <v/>
      </c>
      <c r="AY275" s="4" t="n"/>
      <c r="AZ275" s="4" t="n"/>
      <c r="BA275" s="16" t="n"/>
      <c r="BB275" s="16" t="n"/>
      <c r="BC275" s="16" t="n"/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>
        <f>L276*M276*N276/1000000</f>
        <v/>
      </c>
      <c r="R276" s="4" t="n"/>
      <c r="S276" s="4" t="n"/>
      <c r="T276" s="4" t="n"/>
      <c r="U276" s="4" t="n"/>
      <c r="V276" s="4" t="n"/>
      <c r="W276" s="4" t="n"/>
      <c r="X276" s="4">
        <f>AR276*(W276+35+10)</f>
        <v/>
      </c>
      <c r="Y276" s="4">
        <f>AR276*(W276+35+10+45)</f>
        <v/>
      </c>
      <c r="Z276" s="4">
        <f>AA276+AB276+AC276</f>
        <v/>
      </c>
      <c r="AA276" s="4" t="n"/>
      <c r="AB276" s="4" t="n"/>
      <c r="AC276" s="4" t="n"/>
      <c r="AD276" s="4">
        <f>AA276+AB276</f>
        <v/>
      </c>
      <c r="AE276" s="13">
        <f>IF(AD276&lt;=AT276,"库存不足",IF(AD276&gt;=AT276*1.5,"库存预警","库存正常"))</f>
        <v/>
      </c>
      <c r="AF276" s="4">
        <f>MAX(AT276-AA276-AB276,0)</f>
        <v/>
      </c>
      <c r="AG276" s="4">
        <f>MAX(X276-AD276,0)</f>
        <v/>
      </c>
      <c r="AH276" s="4">
        <f>AF276-AG276</f>
        <v/>
      </c>
      <c r="AI276" s="14">
        <f>AX276+(AA276+AB276)/AR276-60</f>
        <v/>
      </c>
      <c r="AJ276" s="4" t="n"/>
      <c r="AK276" s="15" t="n"/>
      <c r="AL276" s="15" t="n"/>
      <c r="AM276" s="15" t="n"/>
      <c r="AN276" s="15" t="n"/>
      <c r="AO276" s="4">
        <f>ROUND(AK276/7,0)</f>
        <v/>
      </c>
      <c r="AP276" s="4">
        <f>ROUND(AL276/15,0)</f>
        <v/>
      </c>
      <c r="AQ276" s="4">
        <f>ROUND(AM276/30,0)</f>
        <v/>
      </c>
      <c r="AR276" s="4" t="n"/>
      <c r="AS276" s="4" t="n"/>
      <c r="AT276" s="4">
        <f>AR276*(W276+7+30)</f>
        <v/>
      </c>
      <c r="AU276" s="4" t="n"/>
      <c r="AV276" s="4">
        <f>MAX(0,AT276-AD276-AC276)</f>
        <v/>
      </c>
      <c r="AW276" s="4" t="n"/>
      <c r="AX276" s="14">
        <f>TODAY()</f>
        <v/>
      </c>
      <c r="AY276" s="4" t="n"/>
      <c r="AZ276" s="4" t="n"/>
      <c r="BA276" s="16" t="n"/>
      <c r="BB276" s="16" t="n"/>
      <c r="BC276" s="16" t="n"/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>
        <f>L277*M277*N277/1000000</f>
        <v/>
      </c>
      <c r="R277" s="4" t="n"/>
      <c r="S277" s="4" t="n"/>
      <c r="T277" s="4" t="n"/>
      <c r="U277" s="4" t="n"/>
      <c r="V277" s="4" t="n"/>
      <c r="W277" s="4" t="n"/>
      <c r="X277" s="4">
        <f>AR277*(W277+30)</f>
        <v/>
      </c>
      <c r="Y277" s="4" t="n"/>
      <c r="Z277" s="4">
        <f>AA277+AB277+AC277</f>
        <v/>
      </c>
      <c r="AA277" s="4" t="n"/>
      <c r="AB277" s="4" t="n"/>
      <c r="AC277" s="4" t="n"/>
      <c r="AD277" s="4">
        <f>AA277+AB277</f>
        <v/>
      </c>
      <c r="AE277" s="13">
        <f>IF(AD277&lt;=AT277,"库存不足",IF(AD277&gt;=AT277*1.5,"库存预警","库存正常"))</f>
        <v/>
      </c>
      <c r="AF277" s="4">
        <f>MAX(AT277-AA277-AB277,0)</f>
        <v/>
      </c>
      <c r="AG277" s="4">
        <f>MAX(X277-AD277,0)</f>
        <v/>
      </c>
      <c r="AH277" s="4">
        <f>AF277-AG277</f>
        <v/>
      </c>
      <c r="AI277" s="14">
        <f>AX277+(AA277+AB277)/AR277-60</f>
        <v/>
      </c>
      <c r="AJ277" s="4" t="n"/>
      <c r="AK277" s="4" t="n"/>
      <c r="AL277" s="4" t="n"/>
      <c r="AM277" s="4" t="n"/>
      <c r="AN277" s="4">
        <f>ROUND(AJ277/3,0)</f>
        <v/>
      </c>
      <c r="AO277" s="4">
        <f>ROUND(AK277/7,0)</f>
        <v/>
      </c>
      <c r="AP277" s="4">
        <f>ROUND(AL277/15,0)</f>
        <v/>
      </c>
      <c r="AQ277" s="4">
        <f>ROUND(AM277/30,0)</f>
        <v/>
      </c>
      <c r="AR277" s="4" t="n"/>
      <c r="AS277" s="4" t="n"/>
      <c r="AT277" s="4">
        <f>AR277*(W277+7+30)</f>
        <v/>
      </c>
      <c r="AU277" s="4" t="n"/>
      <c r="AV277" s="4">
        <f>MAX(0,AT277-AD277-AC277)</f>
        <v/>
      </c>
      <c r="AW277" s="4" t="n"/>
      <c r="AX277" s="14">
        <f>TODAY()</f>
        <v/>
      </c>
      <c r="AY277" s="4" t="n"/>
      <c r="AZ277" s="4" t="n"/>
      <c r="BA277" s="16" t="n"/>
      <c r="BB277" s="16" t="n"/>
      <c r="BC277" s="16" t="n"/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>
        <f>L278*M278*N278/1000000</f>
        <v/>
      </c>
      <c r="R278" s="4" t="n"/>
      <c r="S278" s="4" t="n"/>
      <c r="T278" s="4" t="n"/>
      <c r="U278" s="4" t="n"/>
      <c r="V278" s="4" t="n"/>
      <c r="W278" s="4" t="n"/>
      <c r="X278" s="4">
        <f>AR278*(W278+35+10)</f>
        <v/>
      </c>
      <c r="Y278" s="4">
        <f>AR278*(W278+35+10+45)</f>
        <v/>
      </c>
      <c r="Z278" s="4">
        <f>AA278+AB278+AC278</f>
        <v/>
      </c>
      <c r="AA278" s="4" t="n"/>
      <c r="AB278" s="4" t="n"/>
      <c r="AC278" s="4" t="n"/>
      <c r="AD278" s="4">
        <f>AA278+AB278</f>
        <v/>
      </c>
      <c r="AE278" s="13">
        <f>IF(AD278&lt;=AT278,"库存不足",IF(AD278&gt;=AT278*1.5,"库存预警","库存正常"))</f>
        <v/>
      </c>
      <c r="AF278" s="4">
        <f>MAX(AT278-AA278-AB278,0)</f>
        <v/>
      </c>
      <c r="AG278" s="4">
        <f>MAX(X278-AD278,0)</f>
        <v/>
      </c>
      <c r="AH278" s="4">
        <f>AF278-AG278</f>
        <v/>
      </c>
      <c r="AI278" s="14">
        <f>AX278+(AA278+AB278)/AR278-60</f>
        <v/>
      </c>
      <c r="AJ278" s="4" t="n"/>
      <c r="AK278" s="15" t="n"/>
      <c r="AL278" s="15" t="n"/>
      <c r="AM278" s="15" t="n"/>
      <c r="AN278" s="15" t="n"/>
      <c r="AO278" s="4">
        <f>ROUND(AK278/7,0)</f>
        <v/>
      </c>
      <c r="AP278" s="4">
        <f>ROUND(AL278/15,0)</f>
        <v/>
      </c>
      <c r="AQ278" s="4">
        <f>ROUND(AM278/30,0)</f>
        <v/>
      </c>
      <c r="AR278" s="4" t="n"/>
      <c r="AS278" s="4" t="n"/>
      <c r="AT278" s="4">
        <f>AR278*(W278+7+30)</f>
        <v/>
      </c>
      <c r="AU278" s="4" t="n"/>
      <c r="AV278" s="4">
        <f>MAX(0,AT278-AD278-AC278)</f>
        <v/>
      </c>
      <c r="AW278" s="4" t="n"/>
      <c r="AX278" s="14">
        <f>TODAY()</f>
        <v/>
      </c>
      <c r="AY278" s="4" t="n"/>
      <c r="AZ278" s="4" t="n"/>
      <c r="BA278" s="16" t="n"/>
      <c r="BB278" s="16" t="n"/>
      <c r="BC278" s="16" t="n"/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>
        <f>L279*M279*N279/1000000</f>
        <v/>
      </c>
      <c r="R279" s="4" t="n"/>
      <c r="S279" s="4" t="n"/>
      <c r="T279" s="4" t="n"/>
      <c r="U279" s="4" t="n"/>
      <c r="V279" s="4" t="n"/>
      <c r="W279" s="4" t="n"/>
      <c r="X279" s="4">
        <f>AR279*(W279+30)</f>
        <v/>
      </c>
      <c r="Y279" s="4" t="n"/>
      <c r="Z279" s="4">
        <f>AA279+AB279+AC279</f>
        <v/>
      </c>
      <c r="AA279" s="4" t="n"/>
      <c r="AB279" s="4" t="n"/>
      <c r="AC279" s="4" t="n"/>
      <c r="AD279" s="4">
        <f>AA279+AB279</f>
        <v/>
      </c>
      <c r="AE279" s="13">
        <f>IF(AD279&lt;=AT279,"库存不足",IF(AD279&gt;=AT279*1.5,"库存预警","库存正常"))</f>
        <v/>
      </c>
      <c r="AF279" s="4">
        <f>MAX(AT279-AA279-AB279,0)</f>
        <v/>
      </c>
      <c r="AG279" s="4">
        <f>MAX(X279-AD279,0)</f>
        <v/>
      </c>
      <c r="AH279" s="4">
        <f>AF279-AG279</f>
        <v/>
      </c>
      <c r="AI279" s="14">
        <f>AX279+(AA279+AB279)/AR279-60</f>
        <v/>
      </c>
      <c r="AJ279" s="4" t="n"/>
      <c r="AK279" s="4" t="n"/>
      <c r="AL279" s="4" t="n"/>
      <c r="AM279" s="4" t="n"/>
      <c r="AN279" s="4">
        <f>ROUND(AJ279/3,0)</f>
        <v/>
      </c>
      <c r="AO279" s="4">
        <f>ROUND(AK279/7,0)</f>
        <v/>
      </c>
      <c r="AP279" s="4">
        <f>ROUND(AL279/15,0)</f>
        <v/>
      </c>
      <c r="AQ279" s="4">
        <f>ROUND(AM279/30,0)</f>
        <v/>
      </c>
      <c r="AR279" s="4" t="n"/>
      <c r="AS279" s="4" t="n"/>
      <c r="AT279" s="4">
        <f>AR279*(W279+7+30)</f>
        <v/>
      </c>
      <c r="AU279" s="4" t="n"/>
      <c r="AV279" s="4">
        <f>MAX(0,AT279-AD279-AC279)</f>
        <v/>
      </c>
      <c r="AW279" s="4" t="n"/>
      <c r="AX279" s="14">
        <f>TODAY()</f>
        <v/>
      </c>
      <c r="AY279" s="4" t="n"/>
      <c r="AZ279" s="4" t="n"/>
      <c r="BA279" s="16" t="n"/>
      <c r="BB279" s="16" t="n"/>
      <c r="BC279" s="16" t="n"/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>
        <f>K280*1000</f>
        <v/>
      </c>
      <c r="K280" s="4" t="n"/>
      <c r="L280" s="4" t="n"/>
      <c r="M280" s="4" t="n"/>
      <c r="N280" s="4" t="n"/>
      <c r="O280" s="4" t="n"/>
      <c r="P280" s="4" t="n"/>
      <c r="Q280" s="4">
        <f>L280*M280*N280/1000000</f>
        <v/>
      </c>
      <c r="R280" s="4" t="n"/>
      <c r="S280" s="4" t="n"/>
      <c r="T280" s="4" t="n"/>
      <c r="U280" s="4" t="n"/>
      <c r="V280" s="4" t="n"/>
      <c r="W280" s="4" t="n"/>
      <c r="X280" s="4">
        <f>AR280*(W280+30)</f>
        <v/>
      </c>
      <c r="Y280" s="4" t="n"/>
      <c r="Z280" s="4">
        <f>AA280+AB280+AC280</f>
        <v/>
      </c>
      <c r="AA280" s="4" t="n"/>
      <c r="AB280" s="4" t="n"/>
      <c r="AC280" s="4" t="n"/>
      <c r="AD280" s="4">
        <f>AA280+AB280</f>
        <v/>
      </c>
      <c r="AE280" s="13">
        <f>IF(AD280&lt;=AT280,"库存不足",IF(AD280&gt;=AT280*1.5,"库存预警","库存正常"))</f>
        <v/>
      </c>
      <c r="AF280" s="4">
        <f>MAX(AT280-AA280-AB280,0)</f>
        <v/>
      </c>
      <c r="AG280" s="4">
        <f>MAX(X280-AD280,0)</f>
        <v/>
      </c>
      <c r="AH280" s="4">
        <f>AF280-AG280</f>
        <v/>
      </c>
      <c r="AI280" s="14">
        <f>AX280+(AA280+AB280)/AR280-60</f>
        <v/>
      </c>
      <c r="AJ280" s="4" t="n"/>
      <c r="AK280" s="4" t="n"/>
      <c r="AL280" s="4" t="n"/>
      <c r="AM280" s="4" t="n"/>
      <c r="AN280" s="4">
        <f>ROUND(AJ280/3,0)</f>
        <v/>
      </c>
      <c r="AO280" s="4">
        <f>ROUND(AK280/7,0)</f>
        <v/>
      </c>
      <c r="AP280" s="4">
        <f>ROUND(AL280/15,0)</f>
        <v/>
      </c>
      <c r="AQ280" s="4">
        <f>ROUND(AM280/30,0)</f>
        <v/>
      </c>
      <c r="AR280" s="4" t="n"/>
      <c r="AS280" s="4" t="n"/>
      <c r="AT280" s="4">
        <f>AR280*(W280+7+30)</f>
        <v/>
      </c>
      <c r="AU280" s="4" t="n"/>
      <c r="AV280" s="4">
        <f>MAX(0,AT280-AD280-AC280)</f>
        <v/>
      </c>
      <c r="AW280" s="4" t="n"/>
      <c r="AX280" s="14">
        <f>TODAY()</f>
        <v/>
      </c>
      <c r="AY280" s="4" t="n"/>
      <c r="AZ280" s="4" t="n"/>
      <c r="BA280" s="16" t="n"/>
      <c r="BB280" s="16" t="n"/>
      <c r="BC280" s="16" t="n"/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>
        <f>K281*1000</f>
        <v/>
      </c>
      <c r="K281" s="4" t="n"/>
      <c r="L281" s="4" t="n"/>
      <c r="M281" s="4" t="n"/>
      <c r="N281" s="4" t="n"/>
      <c r="O281" s="4" t="n"/>
      <c r="P281" s="4" t="n"/>
      <c r="Q281" s="4">
        <f>L281*M281*N281/1000000</f>
        <v/>
      </c>
      <c r="R281" s="4" t="n"/>
      <c r="S281" s="4" t="n"/>
      <c r="T281" s="4" t="n"/>
      <c r="U281" s="4" t="n"/>
      <c r="V281" s="4" t="n"/>
      <c r="W281" s="4" t="n"/>
      <c r="X281" s="4">
        <f>AR281*(W281+30)</f>
        <v/>
      </c>
      <c r="Y281" s="4" t="n"/>
      <c r="Z281" s="4">
        <f>AA281+AB281+AC281</f>
        <v/>
      </c>
      <c r="AA281" s="4" t="n"/>
      <c r="AB281" s="4" t="n"/>
      <c r="AC281" s="4" t="n"/>
      <c r="AD281" s="4">
        <f>AA281+AB281</f>
        <v/>
      </c>
      <c r="AE281" s="13">
        <f>IF(AD281&lt;=AT281,"库存不足",IF(AD281&gt;=AT281*1.5,"库存预警","库存正常"))</f>
        <v/>
      </c>
      <c r="AF281" s="4">
        <f>MAX(AT281-AA281-AB281,0)</f>
        <v/>
      </c>
      <c r="AG281" s="4">
        <f>MAX(X281-AD281,0)</f>
        <v/>
      </c>
      <c r="AH281" s="4">
        <f>AF281-AG281</f>
        <v/>
      </c>
      <c r="AI281" s="14">
        <f>AX281+(AA281+AB281)/AR281-60</f>
        <v/>
      </c>
      <c r="AJ281" s="4" t="n"/>
      <c r="AK281" s="4" t="n"/>
      <c r="AL281" s="4" t="n"/>
      <c r="AM281" s="4" t="n"/>
      <c r="AN281" s="4">
        <f>ROUND(AJ281/3,0)</f>
        <v/>
      </c>
      <c r="AO281" s="4">
        <f>ROUND(AK281/7,0)</f>
        <v/>
      </c>
      <c r="AP281" s="4">
        <f>ROUND(AL281/15,0)</f>
        <v/>
      </c>
      <c r="AQ281" s="4">
        <f>ROUND(AM281/30,0)</f>
        <v/>
      </c>
      <c r="AR281" s="4" t="n"/>
      <c r="AS281" s="4" t="n"/>
      <c r="AT281" s="4">
        <f>AR281*(W281+7+30)</f>
        <v/>
      </c>
      <c r="AU281" s="4" t="n"/>
      <c r="AV281" s="4">
        <f>MAX(0,AT281-AD281-AC281)</f>
        <v/>
      </c>
      <c r="AW281" s="4" t="n"/>
      <c r="AX281" s="14">
        <f>TODAY()</f>
        <v/>
      </c>
      <c r="AY281" s="4" t="n"/>
      <c r="AZ281" s="4" t="n"/>
      <c r="BA281" s="16" t="n"/>
      <c r="BB281" s="16" t="n"/>
      <c r="BC281" s="16" t="n"/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>
        <f>K282*1000</f>
        <v/>
      </c>
      <c r="K282" s="4" t="n"/>
      <c r="L282" s="4" t="n"/>
      <c r="M282" s="4" t="n"/>
      <c r="N282" s="4" t="n"/>
      <c r="O282" s="4" t="n"/>
      <c r="P282" s="4" t="n"/>
      <c r="Q282" s="4">
        <f>L282*M282*N282/1000000</f>
        <v/>
      </c>
      <c r="R282" s="4" t="n"/>
      <c r="S282" s="4" t="n"/>
      <c r="T282" s="4" t="n"/>
      <c r="U282" s="4" t="n"/>
      <c r="V282" s="4" t="n"/>
      <c r="W282" s="4" t="n"/>
      <c r="X282" s="4">
        <f>AR282*(W282+30)</f>
        <v/>
      </c>
      <c r="Y282" s="4" t="n"/>
      <c r="Z282" s="4">
        <f>AA282+AB282+AC282</f>
        <v/>
      </c>
      <c r="AA282" s="4" t="n"/>
      <c r="AB282" s="4" t="n"/>
      <c r="AC282" s="4" t="n"/>
      <c r="AD282" s="4">
        <f>AA282+AB282</f>
        <v/>
      </c>
      <c r="AE282" s="13">
        <f>IF(AD282&lt;=AT282,"库存不足",IF(AD282&gt;=AT282*1.5,"库存预警","库存正常"))</f>
        <v/>
      </c>
      <c r="AF282" s="4">
        <f>MAX(AT282-AA282-AB282,0)</f>
        <v/>
      </c>
      <c r="AG282" s="4">
        <f>MAX(X282-AD282,0)</f>
        <v/>
      </c>
      <c r="AH282" s="4">
        <f>AF282-AG282</f>
        <v/>
      </c>
      <c r="AI282" s="14">
        <f>AX282+(AA282+AB282)/AR282-60</f>
        <v/>
      </c>
      <c r="AJ282" s="4" t="n"/>
      <c r="AK282" s="4" t="n"/>
      <c r="AL282" s="4" t="n"/>
      <c r="AM282" s="4" t="n"/>
      <c r="AN282" s="4">
        <f>ROUND(AJ282/3,0)</f>
        <v/>
      </c>
      <c r="AO282" s="4">
        <f>ROUND(AK282/7,0)</f>
        <v/>
      </c>
      <c r="AP282" s="4">
        <f>ROUND(AL282/15,0)</f>
        <v/>
      </c>
      <c r="AQ282" s="4">
        <f>ROUND(AM282/30,0)</f>
        <v/>
      </c>
      <c r="AR282" s="4" t="n"/>
      <c r="AS282" s="4" t="n"/>
      <c r="AT282" s="4">
        <f>AR282*(W282+7+30)</f>
        <v/>
      </c>
      <c r="AU282" s="4" t="n"/>
      <c r="AV282" s="4">
        <f>MAX(0,AT282-AD282-AC282)</f>
        <v/>
      </c>
      <c r="AW282" s="4" t="n"/>
      <c r="AX282" s="14">
        <f>TODAY()</f>
        <v/>
      </c>
      <c r="AY282" s="4" t="n"/>
      <c r="AZ282" s="4" t="n"/>
      <c r="BA282" s="16" t="n"/>
      <c r="BB282" s="16" t="n"/>
      <c r="BC282" s="16" t="n"/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>
        <f>K283*1000</f>
        <v/>
      </c>
      <c r="K283" s="4" t="n"/>
      <c r="L283" s="4" t="n"/>
      <c r="M283" s="4" t="n"/>
      <c r="N283" s="4" t="n"/>
      <c r="O283" s="4" t="n"/>
      <c r="P283" s="4" t="n"/>
      <c r="Q283" s="4">
        <f>L283*M283*N283/1000000</f>
        <v/>
      </c>
      <c r="R283" s="4" t="n"/>
      <c r="S283" s="4" t="n"/>
      <c r="T283" s="4" t="n"/>
      <c r="U283" s="4" t="n"/>
      <c r="V283" s="4" t="n"/>
      <c r="W283" s="4" t="n"/>
      <c r="X283" s="4">
        <f>AR283*(W283+30)</f>
        <v/>
      </c>
      <c r="Y283" s="4" t="n"/>
      <c r="Z283" s="4">
        <f>AA283+AB283+AC283</f>
        <v/>
      </c>
      <c r="AA283" s="4" t="n"/>
      <c r="AB283" s="4" t="n"/>
      <c r="AC283" s="4" t="n"/>
      <c r="AD283" s="4">
        <f>AA283+AB283</f>
        <v/>
      </c>
      <c r="AE283" s="13">
        <f>IF(AD283&lt;=AT283,"库存不足",IF(AD283&gt;=AT283*1.5,"库存预警","库存正常"))</f>
        <v/>
      </c>
      <c r="AF283" s="4">
        <f>MAX(AT283-AA283-AB283,0)</f>
        <v/>
      </c>
      <c r="AG283" s="4">
        <f>MAX(X283-AD283,0)</f>
        <v/>
      </c>
      <c r="AH283" s="4">
        <f>AF283-AG283</f>
        <v/>
      </c>
      <c r="AI283" s="14">
        <f>AX283+(AA283+AB283)/AR283-60</f>
        <v/>
      </c>
      <c r="AJ283" s="4" t="n"/>
      <c r="AK283" s="4" t="n"/>
      <c r="AL283" s="4" t="n"/>
      <c r="AM283" s="4" t="n"/>
      <c r="AN283" s="4">
        <f>ROUND(AJ283/3,0)</f>
        <v/>
      </c>
      <c r="AO283" s="4">
        <f>ROUND(AK283/7,0)</f>
        <v/>
      </c>
      <c r="AP283" s="4">
        <f>ROUND(AL283/15,0)</f>
        <v/>
      </c>
      <c r="AQ283" s="4">
        <f>ROUND(AM283/30,0)</f>
        <v/>
      </c>
      <c r="AR283" s="4" t="n"/>
      <c r="AS283" s="4" t="n"/>
      <c r="AT283" s="4">
        <f>AR283*(W283+7+30)</f>
        <v/>
      </c>
      <c r="AU283" s="35" t="n"/>
      <c r="AV283" s="4">
        <f>MAX(0,AT283-AD283-AC283)</f>
        <v/>
      </c>
      <c r="AW283" s="4" t="n"/>
      <c r="AX283" s="14">
        <f>TODAY()</f>
        <v/>
      </c>
      <c r="AY283" s="4" t="n"/>
      <c r="AZ283" s="4" t="n"/>
      <c r="BA283" s="16" t="n"/>
      <c r="BB283" s="16" t="n"/>
      <c r="BC283" s="16" t="n"/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>
        <f>K284*1000</f>
        <v/>
      </c>
      <c r="K284" s="4" t="n"/>
      <c r="L284" s="4" t="n"/>
      <c r="M284" s="4" t="n"/>
      <c r="N284" s="4" t="n"/>
      <c r="O284" s="4" t="n"/>
      <c r="P284" s="4" t="n"/>
      <c r="Q284" s="4">
        <f>L284*M284*N284/1000000</f>
        <v/>
      </c>
      <c r="R284" s="4" t="n"/>
      <c r="S284" s="4" t="n"/>
      <c r="T284" s="4" t="n"/>
      <c r="U284" s="4" t="n"/>
      <c r="V284" s="4" t="n"/>
      <c r="W284" s="4" t="n"/>
      <c r="X284" s="4">
        <f>AR284*(W284+30)</f>
        <v/>
      </c>
      <c r="Y284" s="4" t="n"/>
      <c r="Z284" s="4">
        <f>AA284+AB284+AC284</f>
        <v/>
      </c>
      <c r="AA284" s="4" t="n"/>
      <c r="AB284" s="4" t="n"/>
      <c r="AC284" s="4" t="n"/>
      <c r="AD284" s="4">
        <f>AA284+AB284</f>
        <v/>
      </c>
      <c r="AE284" s="13">
        <f>IF(AD284&lt;=AT284,"库存不足",IF(AD284&gt;=AT284*1.5,"库存预警","库存正常"))</f>
        <v/>
      </c>
      <c r="AF284" s="4">
        <f>MAX(AT284-AA284-AB284,0)</f>
        <v/>
      </c>
      <c r="AG284" s="4">
        <f>MAX(X284-AD284,0)</f>
        <v/>
      </c>
      <c r="AH284" s="4">
        <f>AF284-AG284</f>
        <v/>
      </c>
      <c r="AI284" s="14">
        <f>AX284+(AA284+AB284)/AR284-60</f>
        <v/>
      </c>
      <c r="AJ284" s="4" t="n"/>
      <c r="AK284" s="4" t="n"/>
      <c r="AL284" s="4" t="n"/>
      <c r="AM284" s="4" t="n"/>
      <c r="AN284" s="4">
        <f>ROUND(AJ284/3,0)</f>
        <v/>
      </c>
      <c r="AO284" s="4">
        <f>ROUND(AK284/7,0)</f>
        <v/>
      </c>
      <c r="AP284" s="4">
        <f>ROUND(AL284/15,0)</f>
        <v/>
      </c>
      <c r="AQ284" s="4">
        <f>ROUND(AM284/30,0)</f>
        <v/>
      </c>
      <c r="AR284" s="4" t="n"/>
      <c r="AS284" s="4" t="n"/>
      <c r="AT284" s="4">
        <f>AR284*(W284+7+30)</f>
        <v/>
      </c>
      <c r="AU284" s="4" t="n"/>
      <c r="AV284" s="4">
        <f>MAX(0,AT284-AD284-AC284)</f>
        <v/>
      </c>
      <c r="AW284" s="4" t="n"/>
      <c r="AX284" s="14">
        <f>TODAY()</f>
        <v/>
      </c>
      <c r="AY284" s="4" t="n"/>
      <c r="AZ284" s="4" t="n"/>
      <c r="BA284" s="16" t="n"/>
      <c r="BB284" s="16" t="n"/>
      <c r="BC284" s="16" t="n"/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>
        <f>K285*1000</f>
        <v/>
      </c>
      <c r="K285" s="4" t="n"/>
      <c r="L285" s="4" t="n"/>
      <c r="M285" s="4" t="n"/>
      <c r="N285" s="4" t="n"/>
      <c r="O285" s="4" t="n"/>
      <c r="P285" s="4" t="n"/>
      <c r="Q285" s="4">
        <f>L285*M285*N285/1000000</f>
        <v/>
      </c>
      <c r="R285" s="4" t="n"/>
      <c r="S285" s="4" t="n"/>
      <c r="T285" s="4" t="n"/>
      <c r="U285" s="4" t="n"/>
      <c r="V285" s="4" t="n"/>
      <c r="W285" s="4" t="n"/>
      <c r="X285" s="4">
        <f>AR285*(W285+30)</f>
        <v/>
      </c>
      <c r="Y285" s="4" t="n"/>
      <c r="Z285" s="4">
        <f>AA285+AB285+AC285</f>
        <v/>
      </c>
      <c r="AA285" s="4" t="n"/>
      <c r="AB285" s="4" t="n"/>
      <c r="AC285" s="4" t="n"/>
      <c r="AD285" s="4">
        <f>AA285+AB285</f>
        <v/>
      </c>
      <c r="AE285" s="13">
        <f>IF(AD285&lt;=AT285,"库存不足",IF(AD285&gt;=AT285*1.5,"库存预警","库存正常"))</f>
        <v/>
      </c>
      <c r="AF285" s="4">
        <f>MAX(AT285-AA285-AB285,0)</f>
        <v/>
      </c>
      <c r="AG285" s="4">
        <f>MAX(X285-AD285,0)</f>
        <v/>
      </c>
      <c r="AH285" s="4">
        <f>AF285-AG285</f>
        <v/>
      </c>
      <c r="AI285" s="14">
        <f>AX285+(AA285+AB285)/AR285-60</f>
        <v/>
      </c>
      <c r="AJ285" s="4" t="n"/>
      <c r="AK285" s="4" t="n"/>
      <c r="AL285" s="4" t="n"/>
      <c r="AM285" s="4" t="n"/>
      <c r="AN285" s="4">
        <f>ROUND(AJ285/3,0)</f>
        <v/>
      </c>
      <c r="AO285" s="4">
        <f>ROUND(AK285/7,0)</f>
        <v/>
      </c>
      <c r="AP285" s="4">
        <f>ROUND(AL285/15,0)</f>
        <v/>
      </c>
      <c r="AQ285" s="4">
        <f>ROUND(AM285/30,0)</f>
        <v/>
      </c>
      <c r="AR285" s="4" t="n"/>
      <c r="AS285" s="4" t="n"/>
      <c r="AT285" s="4">
        <f>AR285*(W285+7+30)</f>
        <v/>
      </c>
      <c r="AU285" s="4" t="n"/>
      <c r="AV285" s="4">
        <f>MAX(0,AT285-AD285-AC285)</f>
        <v/>
      </c>
      <c r="AW285" s="4" t="n"/>
      <c r="AX285" s="14">
        <f>TODAY()</f>
        <v/>
      </c>
      <c r="AY285" s="4" t="n"/>
      <c r="AZ285" s="4" t="n"/>
      <c r="BA285" s="16" t="n"/>
      <c r="BB285" s="16" t="n"/>
      <c r="BC285" s="16" t="n"/>
    </row>
    <row r="286" ht="14.25" customHeight="1" s="31">
      <c r="A286" s="4" t="n"/>
      <c r="B286" s="4" t="n"/>
      <c r="C286" s="4" t="n"/>
      <c r="D286" s="4" t="n"/>
      <c r="E286" s="4" t="n"/>
      <c r="F286" s="4" t="n"/>
      <c r="G286" s="34" t="n"/>
      <c r="H286" s="34" t="n"/>
      <c r="I286" s="34" t="n"/>
      <c r="J286" s="19" t="n"/>
      <c r="K286" s="19" t="n"/>
      <c r="L286" s="19" t="n"/>
      <c r="M286" s="19" t="n"/>
      <c r="N286" s="19" t="n"/>
      <c r="O286" s="19" t="n"/>
      <c r="P286" s="34" t="n"/>
      <c r="Q286" s="19" t="n"/>
      <c r="R286" s="19" t="n"/>
      <c r="S286" s="19" t="n"/>
      <c r="T286" s="4" t="n"/>
      <c r="U286" s="4" t="n"/>
      <c r="V286" s="4" t="n"/>
      <c r="W286" s="4" t="n"/>
      <c r="X286" s="4">
        <f>AR286*(W286+35+10)</f>
        <v/>
      </c>
      <c r="Y286" s="4">
        <f>AR286*(W286+35+10+45)</f>
        <v/>
      </c>
      <c r="Z286" s="4">
        <f>AA286+AB286+AC286</f>
        <v/>
      </c>
      <c r="AA286" s="4" t="n"/>
      <c r="AB286" s="4" t="n"/>
      <c r="AC286" s="4" t="n"/>
      <c r="AD286" s="4">
        <f>AA286+AB286</f>
        <v/>
      </c>
      <c r="AE286" s="13">
        <f>IF(AD286&lt;=AT286,"库存不足",IF(AD286&gt;=AT286*1.5,"库存预警","库存正常"))</f>
        <v/>
      </c>
      <c r="AF286" s="4">
        <f>MAX(AT286-AA286-AB286,0)</f>
        <v/>
      </c>
      <c r="AG286" s="4">
        <f>MAX(X286-AD286,0)</f>
        <v/>
      </c>
      <c r="AH286" s="4">
        <f>AF286-AG286</f>
        <v/>
      </c>
      <c r="AI286" s="14">
        <f>AX286+(AA286+AB286)/AR286-60</f>
        <v/>
      </c>
      <c r="AJ286" s="4" t="n"/>
      <c r="AK286" s="4" t="n"/>
      <c r="AL286" s="4" t="n"/>
      <c r="AM286" s="4" t="n"/>
      <c r="AN286" s="4">
        <f>ROUND(AJ286/3,0)</f>
        <v/>
      </c>
      <c r="AO286" s="4">
        <f>ROUND(AK286/7,0)</f>
        <v/>
      </c>
      <c r="AP286" s="4">
        <f>ROUND(AL286/15,0)</f>
        <v/>
      </c>
      <c r="AQ286" s="4">
        <f>ROUND(AM286/30,0)</f>
        <v/>
      </c>
      <c r="AR286" s="4" t="n"/>
      <c r="AS286" s="4" t="n"/>
      <c r="AT286" s="4">
        <f>AR286*(W286+7+30)</f>
        <v/>
      </c>
      <c r="AU286" s="4" t="n"/>
      <c r="AV286" s="4">
        <f>MAX(0,AT286-AD286-AC286)</f>
        <v/>
      </c>
      <c r="AW286" s="4" t="n"/>
      <c r="AX286" s="14">
        <f>TODAY()</f>
        <v/>
      </c>
      <c r="AY286" s="4" t="n"/>
      <c r="AZ286" s="4" t="n"/>
      <c r="BA286" s="16" t="n"/>
      <c r="BB286" s="16" t="n"/>
      <c r="BC286" s="16" t="n"/>
    </row>
    <row r="287" ht="14.25" customHeight="1" s="31">
      <c r="A287" s="4" t="n"/>
      <c r="B287" s="4" t="n"/>
      <c r="C287" s="4" t="n"/>
      <c r="D287" s="4" t="n"/>
      <c r="E287" s="4" t="n"/>
      <c r="F287" s="4" t="n"/>
      <c r="G287" s="34" t="n"/>
      <c r="H287" s="34" t="n"/>
      <c r="I287" s="34" t="n"/>
      <c r="J287" s="19" t="n"/>
      <c r="K287" s="19" t="n"/>
      <c r="L287" s="19" t="n"/>
      <c r="M287" s="19" t="n"/>
      <c r="N287" s="19" t="n"/>
      <c r="O287" s="19" t="n"/>
      <c r="P287" s="34" t="n"/>
      <c r="Q287" s="19" t="n"/>
      <c r="R287" s="19" t="n"/>
      <c r="S287" s="19" t="n"/>
      <c r="T287" s="4" t="n"/>
      <c r="U287" s="4" t="n"/>
      <c r="V287" s="4" t="n"/>
      <c r="W287" s="4" t="n"/>
      <c r="X287" s="4">
        <f>AR287*(W287+35+10)</f>
        <v/>
      </c>
      <c r="Y287" s="4">
        <f>AR287*(W287+35+10+45)</f>
        <v/>
      </c>
      <c r="Z287" s="4">
        <f>AA287+AB287+AC287</f>
        <v/>
      </c>
      <c r="AA287" s="4" t="n"/>
      <c r="AB287" s="4" t="n"/>
      <c r="AC287" s="4" t="n"/>
      <c r="AD287" s="4">
        <f>AA287+AB287</f>
        <v/>
      </c>
      <c r="AE287" s="13">
        <f>IF(AD287&lt;=AT287,"库存不足",IF(AD287&gt;=AT287*1.5,"库存预警","库存正常"))</f>
        <v/>
      </c>
      <c r="AF287" s="4">
        <f>MAX(AT287-AA287-AB287,0)</f>
        <v/>
      </c>
      <c r="AG287" s="4">
        <f>MAX(X287-AD287,0)</f>
        <v/>
      </c>
      <c r="AH287" s="4">
        <f>AF287-AG287</f>
        <v/>
      </c>
      <c r="AI287" s="14">
        <f>AX287+(AA287+AB287)/AR287-60</f>
        <v/>
      </c>
      <c r="AJ287" s="4" t="n"/>
      <c r="AK287" s="15" t="n"/>
      <c r="AL287" s="15" t="n"/>
      <c r="AM287" s="15" t="n"/>
      <c r="AN287" s="15" t="n"/>
      <c r="AO287" s="4">
        <f>ROUND(AK287/7,0)</f>
        <v/>
      </c>
      <c r="AP287" s="4">
        <f>ROUND(AL287/15,0)</f>
        <v/>
      </c>
      <c r="AQ287" s="4">
        <f>ROUND(AM287/30,0)</f>
        <v/>
      </c>
      <c r="AR287" s="4" t="n"/>
      <c r="AS287" s="4" t="n"/>
      <c r="AT287" s="4">
        <f>AR287*(W287+7+30)</f>
        <v/>
      </c>
      <c r="AU287" s="4" t="n"/>
      <c r="AV287" s="4">
        <f>MAX(0,AT287-AD287-AC287)</f>
        <v/>
      </c>
      <c r="AW287" s="4" t="n"/>
      <c r="AX287" s="14">
        <f>TODAY()</f>
        <v/>
      </c>
      <c r="AY287" s="4" t="n"/>
      <c r="AZ287" s="4" t="n"/>
      <c r="BA287" s="16" t="n"/>
      <c r="BB287" s="16" t="n"/>
      <c r="BC287" s="16" t="n"/>
    </row>
    <row r="288" ht="14.25" customHeight="1" s="31">
      <c r="A288" s="4" t="n"/>
      <c r="B288" s="4" t="n"/>
      <c r="C288" s="4" t="n"/>
      <c r="D288" s="4" t="n"/>
      <c r="E288" s="4" t="n"/>
      <c r="F288" s="4" t="n"/>
      <c r="G288" s="34" t="n"/>
      <c r="H288" s="34" t="n"/>
      <c r="I288" s="34" t="n"/>
      <c r="J288" s="19" t="n"/>
      <c r="K288" s="19" t="n"/>
      <c r="L288" s="19" t="n"/>
      <c r="M288" s="19" t="n"/>
      <c r="N288" s="19" t="n"/>
      <c r="O288" s="19" t="n"/>
      <c r="P288" s="34" t="n"/>
      <c r="Q288" s="19" t="n"/>
      <c r="R288" s="19" t="n"/>
      <c r="S288" s="19" t="n"/>
      <c r="T288" s="4" t="n"/>
      <c r="U288" s="4" t="n"/>
      <c r="V288" s="4" t="n"/>
      <c r="W288" s="4" t="n"/>
      <c r="X288" s="4">
        <f>AR288*(W288+35+10)</f>
        <v/>
      </c>
      <c r="Y288" s="4">
        <f>AR288*(W288+35+10+45)</f>
        <v/>
      </c>
      <c r="Z288" s="4">
        <f>AA288+AB288+AC288</f>
        <v/>
      </c>
      <c r="AA288" s="4" t="n"/>
      <c r="AB288" s="4" t="n"/>
      <c r="AC288" s="4" t="n"/>
      <c r="AD288" s="4">
        <f>AA288+AB288</f>
        <v/>
      </c>
      <c r="AE288" s="13">
        <f>IF(AD288&lt;=AT288,"库存不足",IF(AD288&gt;=AT288*1.5,"库存预警","库存正常"))</f>
        <v/>
      </c>
      <c r="AF288" s="4">
        <f>MAX(AT288-AA288-AB288,0)</f>
        <v/>
      </c>
      <c r="AG288" s="4">
        <f>MAX(X288-AD288,0)</f>
        <v/>
      </c>
      <c r="AH288" s="4">
        <f>AF288-AG288</f>
        <v/>
      </c>
      <c r="AI288" s="14">
        <f>AX288+(AA288+AB288)/AR288-60</f>
        <v/>
      </c>
      <c r="AJ288" s="4" t="n"/>
      <c r="AK288" s="4" t="n"/>
      <c r="AL288" s="4" t="n"/>
      <c r="AM288" s="4" t="n"/>
      <c r="AN288" s="4">
        <f>ROUND(AJ288/3,0)</f>
        <v/>
      </c>
      <c r="AO288" s="4">
        <f>ROUND(AK288/7,0)</f>
        <v/>
      </c>
      <c r="AP288" s="4">
        <f>ROUND(AL288/15,0)</f>
        <v/>
      </c>
      <c r="AQ288" s="4">
        <f>ROUND(AM288/30,0)</f>
        <v/>
      </c>
      <c r="AR288" s="4" t="n"/>
      <c r="AS288" s="4" t="n"/>
      <c r="AT288" s="4">
        <f>AR288*(W288+7+30)</f>
        <v/>
      </c>
      <c r="AU288" s="4" t="n"/>
      <c r="AV288" s="4">
        <f>MAX(0,AT288-AD288-AC288)</f>
        <v/>
      </c>
      <c r="AW288" s="4" t="n"/>
      <c r="AX288" s="14">
        <f>TODAY()</f>
        <v/>
      </c>
      <c r="AY288" s="4" t="n"/>
      <c r="AZ288" s="4" t="n"/>
      <c r="BA288" s="16" t="n"/>
      <c r="BB288" s="16" t="n"/>
      <c r="BC288" s="16" t="n"/>
    </row>
    <row r="289" ht="14.25" customHeight="1" s="31">
      <c r="A289" s="4" t="n"/>
      <c r="B289" s="4" t="n"/>
      <c r="C289" s="4" t="n"/>
      <c r="D289" s="4" t="n"/>
      <c r="E289" s="19" t="n"/>
      <c r="F289" s="4" t="n"/>
      <c r="G289" s="34" t="n"/>
      <c r="H289" s="34" t="n"/>
      <c r="I289" s="34" t="n"/>
      <c r="J289" s="19" t="n"/>
      <c r="K289" s="19" t="n"/>
      <c r="L289" s="19" t="n"/>
      <c r="M289" s="19" t="n"/>
      <c r="N289" s="19" t="n"/>
      <c r="O289" s="19" t="n"/>
      <c r="P289" s="34" t="n"/>
      <c r="Q289" s="19" t="n"/>
      <c r="R289" s="19" t="n"/>
      <c r="S289" s="19" t="n"/>
      <c r="T289" s="4" t="n"/>
      <c r="U289" s="4" t="n"/>
      <c r="V289" s="4" t="n"/>
      <c r="W289" s="4" t="n"/>
      <c r="X289" s="4">
        <f>AR289*(W289+35+10)</f>
        <v/>
      </c>
      <c r="Y289" s="4">
        <f>AR289*(W289+35+10+45)</f>
        <v/>
      </c>
      <c r="Z289" s="4">
        <f>AA289+AB289+AC289</f>
        <v/>
      </c>
      <c r="AA289" s="4" t="n"/>
      <c r="AB289" s="4" t="n"/>
      <c r="AC289" s="4" t="n"/>
      <c r="AD289" s="4">
        <f>AA289+AB289</f>
        <v/>
      </c>
      <c r="AE289" s="13">
        <f>IF(AD289&lt;=AT289,"库存不足",IF(AD289&gt;=AT289*1.5,"库存预警","库存正常"))</f>
        <v/>
      </c>
      <c r="AF289" s="4">
        <f>MAX(AT289-AA289-AB289,0)</f>
        <v/>
      </c>
      <c r="AG289" s="4">
        <f>MAX(X289-AD289,0)</f>
        <v/>
      </c>
      <c r="AH289" s="4">
        <f>AF289-AG289</f>
        <v/>
      </c>
      <c r="AI289" s="14">
        <f>AX289+(AA289+AB289)/AR289-60</f>
        <v/>
      </c>
      <c r="AJ289" s="4" t="n"/>
      <c r="AK289" s="4" t="n"/>
      <c r="AL289" s="4" t="n"/>
      <c r="AM289" s="4" t="n"/>
      <c r="AN289" s="4">
        <f>ROUND(AJ289/3,0)</f>
        <v/>
      </c>
      <c r="AO289" s="4">
        <f>ROUND(AK289/7,0)</f>
        <v/>
      </c>
      <c r="AP289" s="4">
        <f>ROUND(AL289/15,0)</f>
        <v/>
      </c>
      <c r="AQ289" s="4">
        <f>ROUND(AM289/30,0)</f>
        <v/>
      </c>
      <c r="AR289" s="4" t="n"/>
      <c r="AS289" s="4" t="n"/>
      <c r="AT289" s="4">
        <f>AR289*(W289+7+30)</f>
        <v/>
      </c>
      <c r="AU289" s="4" t="n"/>
      <c r="AV289" s="4">
        <f>MAX(0,AT289-AD289-AC289)</f>
        <v/>
      </c>
      <c r="AW289" s="4" t="n"/>
      <c r="AX289" s="14">
        <f>TODAY()</f>
        <v/>
      </c>
      <c r="AY289" s="4" t="n"/>
      <c r="AZ289" s="4" t="n"/>
      <c r="BA289" s="16" t="n"/>
      <c r="BB289" s="16" t="n"/>
      <c r="BC289" s="16" t="n"/>
    </row>
    <row r="290" ht="14.25" customHeight="1" s="31">
      <c r="A290" s="4" t="n"/>
      <c r="B290" s="19" t="n"/>
      <c r="C290" s="19" t="n"/>
      <c r="D290" s="19" t="n"/>
      <c r="E290" s="19" t="n"/>
      <c r="F290" s="19" t="n"/>
      <c r="G290" s="34" t="n"/>
      <c r="H290" s="34" t="n"/>
      <c r="I290" s="34" t="n"/>
      <c r="J290" s="19">
        <f>K290*1000</f>
        <v/>
      </c>
      <c r="K290" s="19" t="n"/>
      <c r="L290" s="19" t="n"/>
      <c r="M290" s="19" t="n"/>
      <c r="N290" s="19" t="n"/>
      <c r="O290" s="19" t="n"/>
      <c r="P290" s="34" t="n"/>
      <c r="Q290" s="19">
        <f>ROUND((L290*M290*N290)/1000000,3)</f>
        <v/>
      </c>
      <c r="R290" s="19" t="n"/>
      <c r="S290" s="19" t="n"/>
      <c r="T290" s="4" t="n"/>
      <c r="U290" s="4" t="n"/>
      <c r="V290" s="4" t="n"/>
      <c r="W290" s="4" t="n"/>
      <c r="X290" s="4">
        <f>AR290*(W290+30)</f>
        <v/>
      </c>
      <c r="Y290" s="4" t="n"/>
      <c r="Z290" s="4">
        <f>AA290+AB290+AC290</f>
        <v/>
      </c>
      <c r="AA290" s="4" t="n"/>
      <c r="AB290" s="4" t="n"/>
      <c r="AC290" s="4" t="n"/>
      <c r="AD290" s="4">
        <f>AA290+AB290</f>
        <v/>
      </c>
      <c r="AE290" s="13">
        <f>IF(AD290&lt;=AT290,"库存不足",IF(AD290&gt;=AT290*1.5,"库存预警","库存正常"))</f>
        <v/>
      </c>
      <c r="AF290" s="4">
        <f>MAX(AT290-AA290-AB290,0)</f>
        <v/>
      </c>
      <c r="AG290" s="4">
        <f>MAX(X290-AD290,0)</f>
        <v/>
      </c>
      <c r="AH290" s="4">
        <f>AF290-AG290</f>
        <v/>
      </c>
      <c r="AI290" s="14">
        <f>AX290+(AA290+AB290)/AR290-60</f>
        <v/>
      </c>
      <c r="AJ290" s="4" t="n"/>
      <c r="AK290" s="4" t="n"/>
      <c r="AL290" s="4" t="n"/>
      <c r="AM290" s="4" t="n"/>
      <c r="AN290" s="4">
        <f>ROUND(AJ290/3,0)</f>
        <v/>
      </c>
      <c r="AO290" s="4">
        <f>ROUND(AK290/7,0)</f>
        <v/>
      </c>
      <c r="AP290" s="4">
        <f>ROUND(AL290/15,0)</f>
        <v/>
      </c>
      <c r="AQ290" s="4">
        <f>ROUND(AM290/30,0)</f>
        <v/>
      </c>
      <c r="AR290" s="4" t="n"/>
      <c r="AS290" s="4" t="n"/>
      <c r="AT290" s="4">
        <f>AR290*(W290+7+30)</f>
        <v/>
      </c>
      <c r="AU290" s="35" t="n"/>
      <c r="AV290" s="4">
        <f>MAX(0,AT290-AD290-AC290)</f>
        <v/>
      </c>
      <c r="AW290" s="4" t="n"/>
      <c r="AX290" s="14">
        <f>TODAY()</f>
        <v/>
      </c>
      <c r="AY290" s="4" t="n"/>
      <c r="AZ290" s="4" t="n"/>
      <c r="BA290" s="16" t="n"/>
      <c r="BB290" s="16" t="n"/>
      <c r="BC290" s="16" t="n"/>
    </row>
    <row r="291" ht="14.25" customHeight="1" s="31">
      <c r="A291" s="4" t="n"/>
      <c r="B291" s="19" t="n"/>
      <c r="C291" s="19" t="n"/>
      <c r="D291" s="19" t="n"/>
      <c r="E291" s="19" t="n"/>
      <c r="F291" s="19" t="n"/>
      <c r="G291" s="34" t="n"/>
      <c r="H291" s="34" t="n"/>
      <c r="I291" s="34" t="n"/>
      <c r="J291" s="19">
        <f>K291*1000</f>
        <v/>
      </c>
      <c r="K291" s="19" t="n"/>
      <c r="L291" s="19" t="n"/>
      <c r="M291" s="19" t="n"/>
      <c r="N291" s="19" t="n"/>
      <c r="O291" s="19" t="n"/>
      <c r="P291" s="34" t="n"/>
      <c r="Q291" s="19">
        <f>ROUND((L291*M291*N291)/1000000,3)</f>
        <v/>
      </c>
      <c r="R291" s="19" t="n"/>
      <c r="S291" s="19" t="n"/>
      <c r="T291" s="4" t="n"/>
      <c r="U291" s="4" t="n"/>
      <c r="V291" s="4" t="n"/>
      <c r="W291" s="4" t="n"/>
      <c r="X291" s="4">
        <f>AR291*(W291+30)</f>
        <v/>
      </c>
      <c r="Y291" s="4" t="n"/>
      <c r="Z291" s="4">
        <f>AA291+AB291+AC291</f>
        <v/>
      </c>
      <c r="AA291" s="4" t="n"/>
      <c r="AB291" s="4" t="n"/>
      <c r="AC291" s="4" t="n"/>
      <c r="AD291" s="4">
        <f>AA291+AB291</f>
        <v/>
      </c>
      <c r="AE291" s="13">
        <f>IF(AD291&lt;=AT291,"库存不足",IF(AD291&gt;=AT291*1.5,"库存预警","库存正常"))</f>
        <v/>
      </c>
      <c r="AF291" s="4">
        <f>MAX(AT291-AA291-AB291,0)</f>
        <v/>
      </c>
      <c r="AG291" s="4">
        <f>MAX(X291-AD291,0)</f>
        <v/>
      </c>
      <c r="AH291" s="4">
        <f>AF291-AG291</f>
        <v/>
      </c>
      <c r="AI291" s="14">
        <f>AX291+(AA291+AB291)/AR291-60</f>
        <v/>
      </c>
      <c r="AJ291" s="4" t="n"/>
      <c r="AK291" s="4" t="n"/>
      <c r="AL291" s="4" t="n"/>
      <c r="AM291" s="4" t="n"/>
      <c r="AN291" s="4">
        <f>ROUND(AJ291/3,0)</f>
        <v/>
      </c>
      <c r="AO291" s="4">
        <f>ROUND(AK291/7,0)</f>
        <v/>
      </c>
      <c r="AP291" s="4">
        <f>ROUND(AL291/15,0)</f>
        <v/>
      </c>
      <c r="AQ291" s="4">
        <f>ROUND(AM291/30,0)</f>
        <v/>
      </c>
      <c r="AR291" s="4" t="n"/>
      <c r="AS291" s="4" t="n"/>
      <c r="AT291" s="4">
        <f>AR291*(W291+7+30)</f>
        <v/>
      </c>
      <c r="AU291" s="35" t="n"/>
      <c r="AV291" s="4">
        <f>MAX(0,AT291-AD291-AC291)</f>
        <v/>
      </c>
      <c r="AW291" s="4" t="n"/>
      <c r="AX291" s="14">
        <f>TODAY()</f>
        <v/>
      </c>
      <c r="AY291" s="4" t="n"/>
      <c r="AZ291" s="4" t="n"/>
      <c r="BA291" s="16" t="n"/>
      <c r="BB291" s="16" t="n"/>
      <c r="BC291" s="16" t="n"/>
    </row>
    <row r="292" ht="14.25" customHeight="1" s="31">
      <c r="A292" s="4" t="n"/>
      <c r="B292" s="19" t="n"/>
      <c r="C292" s="19" t="n"/>
      <c r="D292" s="19" t="n"/>
      <c r="E292" s="19" t="n"/>
      <c r="F292" s="19" t="n"/>
      <c r="G292" s="34" t="n"/>
      <c r="H292" s="34" t="n"/>
      <c r="I292" s="34" t="n"/>
      <c r="J292" s="19">
        <f>K292*1000</f>
        <v/>
      </c>
      <c r="K292" s="19" t="n"/>
      <c r="L292" s="19" t="n"/>
      <c r="M292" s="19" t="n"/>
      <c r="N292" s="19" t="n"/>
      <c r="O292" s="19" t="n"/>
      <c r="P292" s="34" t="n"/>
      <c r="Q292" s="19">
        <f>ROUND((L292*M292*N292)/1000000,3)</f>
        <v/>
      </c>
      <c r="R292" s="19" t="n"/>
      <c r="S292" s="19" t="n"/>
      <c r="T292" s="4" t="n"/>
      <c r="U292" s="4" t="n"/>
      <c r="V292" s="4" t="n"/>
      <c r="W292" s="4" t="n"/>
      <c r="X292" s="4">
        <f>AR292*(W292+30)</f>
        <v/>
      </c>
      <c r="Y292" s="4" t="n"/>
      <c r="Z292" s="4">
        <f>AA292+AB292+AC292</f>
        <v/>
      </c>
      <c r="AA292" s="4" t="n"/>
      <c r="AB292" s="4" t="n"/>
      <c r="AC292" s="4" t="n"/>
      <c r="AD292" s="4">
        <f>AA292+AB292</f>
        <v/>
      </c>
      <c r="AE292" s="13">
        <f>IF(AD292&lt;=AT292,"库存不足",IF(AD292&gt;=AT292*1.5,"库存预警","库存正常"))</f>
        <v/>
      </c>
      <c r="AF292" s="4">
        <f>MAX(AT292-AA292-AB292,0)</f>
        <v/>
      </c>
      <c r="AG292" s="4">
        <f>MAX(X292-AD292,0)</f>
        <v/>
      </c>
      <c r="AH292" s="4">
        <f>AF292-AG292</f>
        <v/>
      </c>
      <c r="AI292" s="14">
        <f>AX292+(AA292+AB292)/AR292-60</f>
        <v/>
      </c>
      <c r="AJ292" s="4" t="n"/>
      <c r="AK292" s="4" t="n"/>
      <c r="AL292" s="4" t="n"/>
      <c r="AM292" s="4" t="n"/>
      <c r="AN292" s="4">
        <f>ROUND(AJ292/3,0)</f>
        <v/>
      </c>
      <c r="AO292" s="4">
        <f>ROUND(AK292/7,0)</f>
        <v/>
      </c>
      <c r="AP292" s="4">
        <f>ROUND(AL292/15,0)</f>
        <v/>
      </c>
      <c r="AQ292" s="4">
        <f>ROUND(AM292/30,0)</f>
        <v/>
      </c>
      <c r="AR292" s="4" t="n"/>
      <c r="AS292" s="4" t="n"/>
      <c r="AT292" s="4">
        <f>AR292*(W292+7+30)</f>
        <v/>
      </c>
      <c r="AU292" s="35" t="n"/>
      <c r="AV292" s="4">
        <f>MAX(0,AT292-AD292-AC292)</f>
        <v/>
      </c>
      <c r="AW292" s="4" t="n"/>
      <c r="AX292" s="14">
        <f>TODAY()</f>
        <v/>
      </c>
      <c r="AY292" s="4" t="n"/>
      <c r="AZ292" s="4" t="n"/>
      <c r="BA292" s="16" t="n"/>
      <c r="BB292" s="16" t="n"/>
      <c r="BC292" s="16" t="n"/>
    </row>
    <row r="293" ht="14.25" customHeight="1" s="31">
      <c r="A293" s="4" t="n"/>
      <c r="B293" s="19" t="n"/>
      <c r="C293" s="19" t="n"/>
      <c r="D293" s="19" t="n"/>
      <c r="E293" s="19" t="n"/>
      <c r="F293" s="19" t="n"/>
      <c r="G293" s="34" t="n"/>
      <c r="H293" s="34" t="n"/>
      <c r="I293" s="34" t="n"/>
      <c r="J293" s="19">
        <f>K293*1000</f>
        <v/>
      </c>
      <c r="K293" s="19" t="n"/>
      <c r="L293" s="19" t="n"/>
      <c r="M293" s="19" t="n"/>
      <c r="N293" s="19" t="n"/>
      <c r="O293" s="19" t="n"/>
      <c r="P293" s="34" t="n"/>
      <c r="Q293" s="19">
        <f>ROUND((L293*M293*N293)/1000000,3)</f>
        <v/>
      </c>
      <c r="R293" s="19" t="n"/>
      <c r="S293" s="19" t="n"/>
      <c r="T293" s="4" t="n"/>
      <c r="U293" s="4" t="n"/>
      <c r="V293" s="4" t="n"/>
      <c r="W293" s="4" t="n"/>
      <c r="X293" s="4">
        <f>AR293*(W293+30)</f>
        <v/>
      </c>
      <c r="Y293" s="4" t="n"/>
      <c r="Z293" s="4">
        <f>AA293+AB293+AC293</f>
        <v/>
      </c>
      <c r="AA293" s="4" t="n"/>
      <c r="AB293" s="4" t="n"/>
      <c r="AC293" s="4" t="n"/>
      <c r="AD293" s="4">
        <f>AA293+AB293</f>
        <v/>
      </c>
      <c r="AE293" s="13">
        <f>IF(AD293&lt;=AT293,"库存不足",IF(AD293&gt;=AT293*1.5,"库存预警","库存正常"))</f>
        <v/>
      </c>
      <c r="AF293" s="4">
        <f>MAX(AT293-AA293-AB293,0)</f>
        <v/>
      </c>
      <c r="AG293" s="4">
        <f>MAX(X293-AD293,0)</f>
        <v/>
      </c>
      <c r="AH293" s="4">
        <f>AF293-AG293</f>
        <v/>
      </c>
      <c r="AI293" s="14">
        <f>AX293+(AA293+AB293)/AR293-60</f>
        <v/>
      </c>
      <c r="AJ293" s="4" t="n"/>
      <c r="AK293" s="4" t="n"/>
      <c r="AL293" s="4" t="n"/>
      <c r="AM293" s="4" t="n"/>
      <c r="AN293" s="4">
        <f>ROUND(AJ293/3,0)</f>
        <v/>
      </c>
      <c r="AO293" s="4">
        <f>ROUND(AK293/7,0)</f>
        <v/>
      </c>
      <c r="AP293" s="4">
        <f>ROUND(AL293/15,0)</f>
        <v/>
      </c>
      <c r="AQ293" s="4">
        <f>ROUND(AM293/30,0)</f>
        <v/>
      </c>
      <c r="AR293" s="4" t="n"/>
      <c r="AS293" s="4" t="n"/>
      <c r="AT293" s="4">
        <f>AR293*(W293+7+30)</f>
        <v/>
      </c>
      <c r="AU293" s="35" t="n"/>
      <c r="AV293" s="4">
        <f>MAX(0,AT293-AD293-AC293)</f>
        <v/>
      </c>
      <c r="AW293" s="4" t="n"/>
      <c r="AX293" s="14">
        <f>TODAY()</f>
        <v/>
      </c>
      <c r="AY293" s="4" t="n"/>
      <c r="AZ293" s="4" t="n"/>
      <c r="BA293" s="16" t="n"/>
      <c r="BB293" s="16" t="n"/>
      <c r="BC293" s="16" t="n"/>
    </row>
    <row r="294" ht="14.25" customHeight="1" s="31">
      <c r="A294" s="4" t="n"/>
      <c r="B294" s="19" t="n"/>
      <c r="C294" s="19" t="n"/>
      <c r="D294" s="19" t="n"/>
      <c r="E294" s="19" t="n"/>
      <c r="F294" s="19" t="n"/>
      <c r="G294" s="34" t="n"/>
      <c r="H294" s="34" t="n"/>
      <c r="I294" s="34" t="n"/>
      <c r="J294" s="19">
        <f>K294*1000</f>
        <v/>
      </c>
      <c r="K294" s="19" t="n"/>
      <c r="L294" s="19" t="n"/>
      <c r="M294" s="19" t="n"/>
      <c r="N294" s="19" t="n"/>
      <c r="O294" s="19" t="n"/>
      <c r="P294" s="34" t="n"/>
      <c r="Q294" s="19">
        <f>ROUND((L294*M294*N294)/1000000,3)</f>
        <v/>
      </c>
      <c r="R294" s="19" t="n"/>
      <c r="S294" s="19" t="n"/>
      <c r="T294" s="4" t="n"/>
      <c r="U294" s="4" t="n"/>
      <c r="V294" s="4" t="n"/>
      <c r="W294" s="4" t="n"/>
      <c r="X294" s="4">
        <f>AR294*(W294+30)</f>
        <v/>
      </c>
      <c r="Y294" s="4" t="n"/>
      <c r="Z294" s="4">
        <f>AA294+AB294+AC294</f>
        <v/>
      </c>
      <c r="AA294" s="4" t="n"/>
      <c r="AB294" s="4" t="n"/>
      <c r="AC294" s="4" t="n"/>
      <c r="AD294" s="4">
        <f>AA294+AB294</f>
        <v/>
      </c>
      <c r="AE294" s="13">
        <f>IF(AD294&lt;=AT294,"库存不足",IF(AD294&gt;=AT294*1.5,"库存预警","库存正常"))</f>
        <v/>
      </c>
      <c r="AF294" s="4">
        <f>MAX(AT294-AA294-AB294,0)</f>
        <v/>
      </c>
      <c r="AG294" s="4">
        <f>MAX(X294-AD294,0)</f>
        <v/>
      </c>
      <c r="AH294" s="4">
        <f>AF294-AG294</f>
        <v/>
      </c>
      <c r="AI294" s="14">
        <f>AX294+(AA294+AB294)/AR294-60</f>
        <v/>
      </c>
      <c r="AJ294" s="4" t="n"/>
      <c r="AK294" s="4" t="n"/>
      <c r="AL294" s="4" t="n"/>
      <c r="AM294" s="4" t="n"/>
      <c r="AN294" s="4">
        <f>ROUND(AJ294/3,0)</f>
        <v/>
      </c>
      <c r="AO294" s="4">
        <f>ROUND(AK294/7,0)</f>
        <v/>
      </c>
      <c r="AP294" s="4">
        <f>ROUND(AL294/15,0)</f>
        <v/>
      </c>
      <c r="AQ294" s="4">
        <f>ROUND(AM294/30,0)</f>
        <v/>
      </c>
      <c r="AR294" s="4" t="n"/>
      <c r="AS294" s="4" t="n"/>
      <c r="AT294" s="4">
        <f>AR294*(W294+7+30)</f>
        <v/>
      </c>
      <c r="AU294" s="35" t="n"/>
      <c r="AV294" s="4">
        <f>MAX(0,AT294-AD294-AC294)</f>
        <v/>
      </c>
      <c r="AW294" s="4" t="n"/>
      <c r="AX294" s="14">
        <f>TODAY()</f>
        <v/>
      </c>
      <c r="AY294" s="4" t="n"/>
      <c r="AZ294" s="4" t="n"/>
      <c r="BA294" s="16" t="n"/>
      <c r="BB294" s="16" t="n"/>
      <c r="BC294" s="16" t="n"/>
    </row>
    <row r="295" ht="14.25" customHeight="1" s="31">
      <c r="A295" s="19" t="n"/>
      <c r="B295" s="19" t="n"/>
      <c r="C295" s="19" t="n"/>
      <c r="D295" s="19" t="n"/>
      <c r="E295" s="19" t="n"/>
      <c r="F295" s="19" t="n"/>
      <c r="G295" s="34" t="n"/>
      <c r="H295" s="34" t="n"/>
      <c r="I295" s="34" t="n"/>
      <c r="J295" s="19">
        <f>K295*1000</f>
        <v/>
      </c>
      <c r="K295" s="19" t="n"/>
      <c r="L295" s="19" t="n"/>
      <c r="M295" s="19" t="n"/>
      <c r="N295" s="19" t="n"/>
      <c r="O295" s="19" t="n"/>
      <c r="P295" s="34" t="n"/>
      <c r="Q295" s="19">
        <f>ROUND((L295*M295*N295)/1000000,3)</f>
        <v/>
      </c>
      <c r="R295" s="19" t="n"/>
      <c r="S295" s="19" t="n"/>
      <c r="T295" s="4" t="n"/>
      <c r="U295" s="4" t="n"/>
      <c r="V295" s="4" t="n"/>
      <c r="W295" s="4" t="n"/>
      <c r="X295" s="4">
        <f>AR295*(W295+30)</f>
        <v/>
      </c>
      <c r="Y295" s="4" t="n"/>
      <c r="Z295" s="4">
        <f>AA295+AB295+AC295</f>
        <v/>
      </c>
      <c r="AA295" s="4" t="n"/>
      <c r="AB295" s="4" t="n"/>
      <c r="AC295" s="4" t="n"/>
      <c r="AD295" s="4">
        <f>AA295+AB295</f>
        <v/>
      </c>
      <c r="AE295" s="13">
        <f>IF(AD295&lt;=AT295,"库存不足",IF(AD295&gt;=AT295*1.5,"库存预警","库存正常"))</f>
        <v/>
      </c>
      <c r="AF295" s="4">
        <f>MAX(AT295-AA295-AB295,0)</f>
        <v/>
      </c>
      <c r="AG295" s="4">
        <f>MAX(X295-AD295,0)</f>
        <v/>
      </c>
      <c r="AH295" s="4">
        <f>AF295-AG295</f>
        <v/>
      </c>
      <c r="AI295" s="14">
        <f>AX295+(AA295+AB295)/AR295-60</f>
        <v/>
      </c>
      <c r="AJ295" s="4" t="n"/>
      <c r="AK295" s="4" t="n"/>
      <c r="AL295" s="4" t="n"/>
      <c r="AM295" s="4" t="n"/>
      <c r="AN295" s="4">
        <f>ROUND(AJ295/3,0)</f>
        <v/>
      </c>
      <c r="AO295" s="4">
        <f>ROUND(AK295/7,0)</f>
        <v/>
      </c>
      <c r="AP295" s="4">
        <f>ROUND(AL295/15,0)</f>
        <v/>
      </c>
      <c r="AQ295" s="4">
        <f>ROUND(AM295/30,0)</f>
        <v/>
      </c>
      <c r="AR295" s="4" t="n"/>
      <c r="AS295" s="4" t="n"/>
      <c r="AT295" s="4">
        <f>AR295*(W295+7+30)</f>
        <v/>
      </c>
      <c r="AU295" s="4" t="n"/>
      <c r="AV295" s="4">
        <f>MAX(0,AT295-AD295-AC295)</f>
        <v/>
      </c>
      <c r="AW295" s="4" t="n"/>
      <c r="AX295" s="14">
        <f>TODAY()</f>
        <v/>
      </c>
      <c r="AY295" s="4" t="n"/>
      <c r="AZ295" s="4" t="n"/>
      <c r="BA295" s="16" t="n"/>
      <c r="BB295" s="16" t="n"/>
      <c r="BC295" s="16" t="n"/>
    </row>
    <row r="296" ht="14.25" customHeight="1" s="31">
      <c r="A296" s="19" t="n"/>
      <c r="B296" s="19" t="n"/>
      <c r="C296" s="19" t="n"/>
      <c r="D296" s="19" t="n"/>
      <c r="E296" s="19" t="n"/>
      <c r="F296" s="19" t="n"/>
      <c r="G296" s="34" t="n"/>
      <c r="H296" s="34" t="n"/>
      <c r="I296" s="34" t="n"/>
      <c r="J296" s="19">
        <f>K296*1000</f>
        <v/>
      </c>
      <c r="K296" s="19" t="n"/>
      <c r="L296" s="19" t="n"/>
      <c r="M296" s="19" t="n"/>
      <c r="N296" s="19" t="n"/>
      <c r="O296" s="19" t="n"/>
      <c r="P296" s="34" t="n"/>
      <c r="Q296" s="19">
        <f>ROUND((L296*M296*N296)/1000000,3)</f>
        <v/>
      </c>
      <c r="R296" s="19" t="n"/>
      <c r="S296" s="19" t="n"/>
      <c r="T296" s="4" t="n"/>
      <c r="U296" s="4" t="n"/>
      <c r="V296" s="4" t="n"/>
      <c r="W296" s="4" t="n"/>
      <c r="X296" s="4">
        <f>AR296*(W296+30)</f>
        <v/>
      </c>
      <c r="Y296" s="4" t="n"/>
      <c r="Z296" s="4">
        <f>AA296+AB296+AC296</f>
        <v/>
      </c>
      <c r="AA296" s="4" t="n"/>
      <c r="AB296" s="4" t="n"/>
      <c r="AC296" s="4" t="n"/>
      <c r="AD296" s="4">
        <f>AA296+AB296</f>
        <v/>
      </c>
      <c r="AE296" s="13">
        <f>IF(AD296&lt;=AT296,"库存不足",IF(AD296&gt;=AT296*1.5,"库存预警","库存正常"))</f>
        <v/>
      </c>
      <c r="AF296" s="4">
        <f>MAX(AT296-AA296-AB296,0)</f>
        <v/>
      </c>
      <c r="AG296" s="4">
        <f>MAX(X296-AD296,0)</f>
        <v/>
      </c>
      <c r="AH296" s="4">
        <f>AF296-AG296</f>
        <v/>
      </c>
      <c r="AI296" s="14">
        <f>AX296+(AA296+AB296)/AR296-60</f>
        <v/>
      </c>
      <c r="AJ296" s="4" t="n"/>
      <c r="AK296" s="4" t="n"/>
      <c r="AL296" s="4" t="n"/>
      <c r="AM296" s="4" t="n"/>
      <c r="AN296" s="4">
        <f>ROUND(AJ296/3,0)</f>
        <v/>
      </c>
      <c r="AO296" s="4">
        <f>ROUND(AK296/7,0)</f>
        <v/>
      </c>
      <c r="AP296" s="4">
        <f>ROUND(AL296/15,0)</f>
        <v/>
      </c>
      <c r="AQ296" s="4">
        <f>ROUND(AM296/30,0)</f>
        <v/>
      </c>
      <c r="AR296" s="4" t="n"/>
      <c r="AS296" s="4" t="n"/>
      <c r="AT296" s="4">
        <f>AR296*(W296+7+30)</f>
        <v/>
      </c>
      <c r="AU296" s="4" t="n"/>
      <c r="AV296" s="4">
        <f>MAX(0,AT296-AD296-AC296)</f>
        <v/>
      </c>
      <c r="AW296" s="4" t="n"/>
      <c r="AX296" s="14">
        <f>TODAY()</f>
        <v/>
      </c>
      <c r="AY296" s="4" t="n"/>
      <c r="AZ296" s="4" t="n"/>
      <c r="BA296" s="16" t="n"/>
      <c r="BB296" s="16" t="n"/>
      <c r="BC296" s="16" t="n"/>
    </row>
    <row r="297" ht="14.25" customHeight="1" s="31">
      <c r="A297" s="19" t="n"/>
      <c r="B297" s="19" t="n"/>
      <c r="C297" s="19" t="n"/>
      <c r="D297" s="19" t="n"/>
      <c r="E297" s="19" t="n"/>
      <c r="F297" s="19" t="n"/>
      <c r="G297" s="34" t="n"/>
      <c r="H297" s="34" t="n"/>
      <c r="I297" s="34" t="n"/>
      <c r="J297" s="19">
        <f>K297*1000</f>
        <v/>
      </c>
      <c r="K297" s="19" t="n"/>
      <c r="L297" s="19" t="n"/>
      <c r="M297" s="19" t="n"/>
      <c r="N297" s="19" t="n"/>
      <c r="O297" s="19" t="n"/>
      <c r="P297" s="34" t="n"/>
      <c r="Q297" s="19">
        <f>ROUND((L297*M297*N297)/1000000,3)</f>
        <v/>
      </c>
      <c r="R297" s="19" t="n"/>
      <c r="S297" s="19" t="n"/>
      <c r="T297" s="4" t="n"/>
      <c r="U297" s="4" t="n"/>
      <c r="V297" s="4" t="n"/>
      <c r="W297" s="4" t="n"/>
      <c r="X297" s="4">
        <f>AR297*(W297+30)</f>
        <v/>
      </c>
      <c r="Y297" s="4" t="n"/>
      <c r="Z297" s="4">
        <f>AA297+AB297+AC297</f>
        <v/>
      </c>
      <c r="AA297" s="4" t="n"/>
      <c r="AB297" s="4" t="n"/>
      <c r="AC297" s="4" t="n"/>
      <c r="AD297" s="4">
        <f>AA297+AB297</f>
        <v/>
      </c>
      <c r="AE297" s="13">
        <f>IF(AD297&lt;=AT297,"库存不足",IF(AD297&gt;=AT297*1.5,"库存预警","库存正常"))</f>
        <v/>
      </c>
      <c r="AF297" s="4">
        <f>MAX(AT297-AA297-AB297,0)</f>
        <v/>
      </c>
      <c r="AG297" s="4">
        <f>MAX(X297-AD297,0)</f>
        <v/>
      </c>
      <c r="AH297" s="4">
        <f>AF297-AG297</f>
        <v/>
      </c>
      <c r="AI297" s="14">
        <f>AX297+(AA297+AB297)/AR297-60</f>
        <v/>
      </c>
      <c r="AJ297" s="4" t="n"/>
      <c r="AK297" s="4" t="n"/>
      <c r="AL297" s="4" t="n"/>
      <c r="AM297" s="4" t="n"/>
      <c r="AN297" s="4">
        <f>ROUND(AJ297/3,0)</f>
        <v/>
      </c>
      <c r="AO297" s="4">
        <f>ROUND(AK297/7,0)</f>
        <v/>
      </c>
      <c r="AP297" s="4">
        <f>ROUND(AL297/15,0)</f>
        <v/>
      </c>
      <c r="AQ297" s="4">
        <f>ROUND(AM297/30,0)</f>
        <v/>
      </c>
      <c r="AR297" s="4" t="n"/>
      <c r="AS297" s="4" t="n"/>
      <c r="AT297" s="4">
        <f>AR297*(W297+7+30)</f>
        <v/>
      </c>
      <c r="AU297" s="4" t="n"/>
      <c r="AV297" s="4">
        <f>MAX(0,AT297-AD297-AC297)</f>
        <v/>
      </c>
      <c r="AW297" s="4" t="n"/>
      <c r="AX297" s="14">
        <f>TODAY()</f>
        <v/>
      </c>
      <c r="AY297" s="4" t="n"/>
      <c r="AZ297" s="4" t="n"/>
      <c r="BA297" s="16" t="n"/>
      <c r="BB297" s="16" t="n"/>
      <c r="BC297" s="16" t="n"/>
    </row>
    <row r="298" ht="14.25" customHeight="1" s="31">
      <c r="A298" s="19" t="n"/>
      <c r="B298" s="19" t="n"/>
      <c r="C298" s="19" t="n"/>
      <c r="D298" s="19" t="n"/>
      <c r="E298" s="19" t="n"/>
      <c r="F298" s="19" t="n"/>
      <c r="G298" s="34" t="n"/>
      <c r="H298" s="34" t="n"/>
      <c r="I298" s="34" t="n"/>
      <c r="J298" s="19">
        <f>K298*1000</f>
        <v/>
      </c>
      <c r="K298" s="19" t="n"/>
      <c r="L298" s="19" t="n"/>
      <c r="M298" s="19" t="n"/>
      <c r="N298" s="19" t="n"/>
      <c r="O298" s="19" t="n"/>
      <c r="P298" s="34" t="n"/>
      <c r="Q298" s="19">
        <f>ROUND((L298*M298*N298)/1000000,3)</f>
        <v/>
      </c>
      <c r="R298" s="19" t="n"/>
      <c r="S298" s="19" t="n"/>
      <c r="T298" s="4" t="n"/>
      <c r="U298" s="4" t="n"/>
      <c r="V298" s="4" t="n"/>
      <c r="W298" s="4" t="n"/>
      <c r="X298" s="4">
        <f>AR298*(W298+30)</f>
        <v/>
      </c>
      <c r="Y298" s="4" t="n"/>
      <c r="Z298" s="4">
        <f>AA298+AB298+AC298</f>
        <v/>
      </c>
      <c r="AA298" s="4" t="n"/>
      <c r="AB298" s="4" t="n"/>
      <c r="AC298" s="4" t="n"/>
      <c r="AD298" s="4">
        <f>AA298+AB298</f>
        <v/>
      </c>
      <c r="AE298" s="13">
        <f>IF(AD298&lt;=AT298,"库存不足",IF(AD298&gt;=AT298*1.5,"库存预警","库存正常"))</f>
        <v/>
      </c>
      <c r="AF298" s="4">
        <f>MAX(AT298-AA298-AB298,0)</f>
        <v/>
      </c>
      <c r="AG298" s="4">
        <f>MAX(X298-AD298,0)</f>
        <v/>
      </c>
      <c r="AH298" s="4">
        <f>AF298-AG298</f>
        <v/>
      </c>
      <c r="AI298" s="14">
        <f>AX298+(AA298+AB298)/AR298-60</f>
        <v/>
      </c>
      <c r="AJ298" s="4" t="n"/>
      <c r="AK298" s="4" t="n"/>
      <c r="AL298" s="4" t="n"/>
      <c r="AM298" s="4" t="n"/>
      <c r="AN298" s="4">
        <f>ROUND(AJ298/3,0)</f>
        <v/>
      </c>
      <c r="AO298" s="4">
        <f>ROUND(AK298/7,0)</f>
        <v/>
      </c>
      <c r="AP298" s="4">
        <f>ROUND(AL298/15,0)</f>
        <v/>
      </c>
      <c r="AQ298" s="4">
        <f>ROUND(AM298/30,0)</f>
        <v/>
      </c>
      <c r="AR298" s="4" t="n"/>
      <c r="AS298" s="4" t="n"/>
      <c r="AT298" s="4">
        <f>AR298*(W298+7+30)</f>
        <v/>
      </c>
      <c r="AU298" s="4" t="n"/>
      <c r="AV298" s="4">
        <f>MAX(0,AT298-AD298-AC298)</f>
        <v/>
      </c>
      <c r="AW298" s="4" t="n"/>
      <c r="AX298" s="14">
        <f>TODAY()</f>
        <v/>
      </c>
      <c r="AY298" s="4" t="n"/>
      <c r="AZ298" s="4" t="n"/>
      <c r="BA298" s="16" t="n"/>
      <c r="BB298" s="16" t="n"/>
      <c r="BC298" s="16" t="n"/>
    </row>
    <row r="299" ht="14.25" customHeight="1" s="31">
      <c r="A299" s="19" t="n"/>
      <c r="B299" s="19" t="n"/>
      <c r="C299" s="19" t="n"/>
      <c r="D299" s="19" t="n"/>
      <c r="E299" s="19" t="n"/>
      <c r="F299" s="19" t="n"/>
      <c r="G299" s="34" t="n"/>
      <c r="H299" s="34" t="n"/>
      <c r="I299" s="34" t="n"/>
      <c r="J299" s="19">
        <f>K299*1000</f>
        <v/>
      </c>
      <c r="K299" s="19" t="n"/>
      <c r="L299" s="19" t="n"/>
      <c r="M299" s="19" t="n"/>
      <c r="N299" s="19" t="n"/>
      <c r="O299" s="19" t="n"/>
      <c r="P299" s="34" t="n"/>
      <c r="Q299" s="19">
        <f>ROUND((L299*M299*N299)/1000000,3)</f>
        <v/>
      </c>
      <c r="R299" s="19" t="n"/>
      <c r="S299" s="19" t="n"/>
      <c r="T299" s="4" t="n"/>
      <c r="U299" s="4" t="n"/>
      <c r="V299" s="4" t="n"/>
      <c r="W299" s="4" t="n"/>
      <c r="X299" s="4">
        <f>AR299*(W299+30)</f>
        <v/>
      </c>
      <c r="Y299" s="4" t="n"/>
      <c r="Z299" s="4">
        <f>AA299+AB299+AC299</f>
        <v/>
      </c>
      <c r="AA299" s="4" t="n"/>
      <c r="AB299" s="4" t="n"/>
      <c r="AC299" s="4" t="n"/>
      <c r="AD299" s="4">
        <f>AA299+AB299</f>
        <v/>
      </c>
      <c r="AE299" s="13">
        <f>IF(AD299&lt;=AT299,"库存不足",IF(AD299&gt;=AT299*1.5,"库存预警","库存正常"))</f>
        <v/>
      </c>
      <c r="AF299" s="4">
        <f>MAX(AT299-AA299-AB299,0)</f>
        <v/>
      </c>
      <c r="AG299" s="4">
        <f>MAX(X299-AD299,0)</f>
        <v/>
      </c>
      <c r="AH299" s="4">
        <f>AF299-AG299</f>
        <v/>
      </c>
      <c r="AI299" s="14">
        <f>AX299+(AA299+AB299)/AR299-60</f>
        <v/>
      </c>
      <c r="AJ299" s="4" t="n"/>
      <c r="AK299" s="4" t="n"/>
      <c r="AL299" s="4" t="n"/>
      <c r="AM299" s="4" t="n"/>
      <c r="AN299" s="4">
        <f>ROUND(AJ299/3,0)</f>
        <v/>
      </c>
      <c r="AO299" s="4">
        <f>ROUND(AK299/7,0)</f>
        <v/>
      </c>
      <c r="AP299" s="4">
        <f>ROUND(AL299/15,0)</f>
        <v/>
      </c>
      <c r="AQ299" s="4">
        <f>ROUND(AM299/30,0)</f>
        <v/>
      </c>
      <c r="AR299" s="4" t="n"/>
      <c r="AS299" s="4" t="n"/>
      <c r="AT299" s="4">
        <f>AR299*(W299+7+30)</f>
        <v/>
      </c>
      <c r="AU299" s="4" t="n"/>
      <c r="AV299" s="4">
        <f>MAX(0,AT299-AD299-AC299)</f>
        <v/>
      </c>
      <c r="AW299" s="4" t="n"/>
      <c r="AX299" s="14">
        <f>TODAY()</f>
        <v/>
      </c>
      <c r="AY299" s="4" t="n"/>
      <c r="AZ299" s="4" t="n"/>
      <c r="BA299" s="16" t="n"/>
      <c r="BB299" s="16" t="n"/>
      <c r="BC299" s="16" t="n"/>
    </row>
    <row r="300" ht="14.25" customHeight="1" s="31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19">
        <f>ROUND((L300*M300*N300)/1000000,3)</f>
        <v/>
      </c>
      <c r="R300" s="4" t="n"/>
      <c r="S300" s="4" t="n"/>
      <c r="T300" s="4" t="n"/>
      <c r="U300" s="4" t="n"/>
      <c r="V300" s="4" t="n"/>
      <c r="W300" s="4" t="n"/>
      <c r="X300" s="4">
        <f>AR300*(W300+30)</f>
        <v/>
      </c>
      <c r="Y300" s="4" t="n"/>
      <c r="Z300" s="4">
        <f>AA300+AB300+AC300</f>
        <v/>
      </c>
      <c r="AA300" s="4" t="n"/>
      <c r="AB300" s="4" t="n"/>
      <c r="AC300" s="4" t="n"/>
      <c r="AD300" s="4">
        <f>AA300+AB300</f>
        <v/>
      </c>
      <c r="AE300" s="13">
        <f>IF(AD300&lt;=AT300,"库存不足",IF(AD300&gt;=AT300*1.5,"库存预警","库存正常"))</f>
        <v/>
      </c>
      <c r="AF300" s="4">
        <f>MAX(AT300-AA300-AB300,0)</f>
        <v/>
      </c>
      <c r="AG300" s="4">
        <f>MAX(X300-AD300,0)</f>
        <v/>
      </c>
      <c r="AH300" s="4">
        <f>AF300-AG300</f>
        <v/>
      </c>
      <c r="AI300" s="14">
        <f>AX300+(AA300+AB300)/AR300-60</f>
        <v/>
      </c>
      <c r="AJ300" s="4" t="n"/>
      <c r="AK300" s="4" t="n"/>
      <c r="AL300" s="4" t="n"/>
      <c r="AM300" s="4" t="n"/>
      <c r="AN300" s="4">
        <f>ROUND(AJ300/3,0)</f>
        <v/>
      </c>
      <c r="AO300" s="4">
        <f>ROUND(AK300/7,0)</f>
        <v/>
      </c>
      <c r="AP300" s="4">
        <f>ROUND(AL300/15,0)</f>
        <v/>
      </c>
      <c r="AQ300" s="4">
        <f>ROUND(AM300/30,0)</f>
        <v/>
      </c>
      <c r="AR300" s="4" t="n"/>
      <c r="AS300" s="4" t="n"/>
      <c r="AT300" s="4">
        <f>AR300*(W300+7+30)</f>
        <v/>
      </c>
      <c r="AU300" s="35" t="n"/>
      <c r="AV300" s="4">
        <f>MAX(0,AT300-AD300-AC300)</f>
        <v/>
      </c>
      <c r="AW300" s="4" t="n"/>
      <c r="AX300" s="14">
        <f>TODAY()</f>
        <v/>
      </c>
      <c r="AY300" s="4" t="n"/>
      <c r="AZ300" s="4" t="n"/>
      <c r="BA300" s="16" t="n"/>
      <c r="BB300" s="16" t="n"/>
      <c r="BC300" s="16" t="n"/>
    </row>
    <row r="301" ht="14.25" customHeight="1" s="31">
      <c r="A301" s="4" t="n"/>
      <c r="B301" s="4" t="n"/>
      <c r="C301" s="4" t="n"/>
      <c r="D301" s="4" t="n"/>
      <c r="E301" s="4" t="n"/>
      <c r="F301" s="19" t="n"/>
      <c r="G301" s="4" t="n"/>
      <c r="H301" s="4" t="n"/>
      <c r="I301" s="4" t="n"/>
      <c r="J301" s="19">
        <f>K301*1000</f>
        <v/>
      </c>
      <c r="K301" s="4" t="n"/>
      <c r="L301" s="4" t="n"/>
      <c r="M301" s="4" t="n"/>
      <c r="N301" s="4" t="n"/>
      <c r="O301" s="4" t="n"/>
      <c r="P301" s="4" t="n"/>
      <c r="Q301" s="19">
        <f>ROUND((L301*M301*N301)/1000000,3)</f>
        <v/>
      </c>
      <c r="R301" s="4" t="n"/>
      <c r="S301" s="4" t="n"/>
      <c r="T301" s="4" t="n"/>
      <c r="U301" s="4" t="n"/>
      <c r="V301" s="4" t="n"/>
      <c r="W301" s="4" t="n"/>
      <c r="X301" s="4">
        <f>AR301*(W301+35+10)</f>
        <v/>
      </c>
      <c r="Y301" s="4">
        <f>AR301*(W301+35+10+45)</f>
        <v/>
      </c>
      <c r="Z301" s="4">
        <f>AA301+AB301+AC301</f>
        <v/>
      </c>
      <c r="AA301" s="4" t="n"/>
      <c r="AB301" s="4" t="n"/>
      <c r="AC301" s="4" t="n"/>
      <c r="AD301" s="4">
        <f>AA301+AB301</f>
        <v/>
      </c>
      <c r="AE301" s="13">
        <f>IF(AD301&lt;=AT301,"库存不足",IF(AD301&gt;=AT301*1.5,"库存预警","库存正常"))</f>
        <v/>
      </c>
      <c r="AF301" s="4">
        <f>MAX(AT301-AA301-AB301,0)</f>
        <v/>
      </c>
      <c r="AG301" s="4">
        <f>MAX(X301-AD301,0)</f>
        <v/>
      </c>
      <c r="AH301" s="4">
        <f>AF301-AG301</f>
        <v/>
      </c>
      <c r="AI301" s="14">
        <f>AX301+(AA301+AB301)/AR301-60</f>
        <v/>
      </c>
      <c r="AJ301" s="4" t="n"/>
      <c r="AK301" s="15" t="n"/>
      <c r="AL301" s="15" t="n"/>
      <c r="AM301" s="15" t="n"/>
      <c r="AN301" s="15" t="n"/>
      <c r="AO301" s="4">
        <f>ROUND(AK301/7,0)</f>
        <v/>
      </c>
      <c r="AP301" s="4">
        <f>ROUND(AL301/15,0)</f>
        <v/>
      </c>
      <c r="AQ301" s="4">
        <f>ROUND(AM301/30,0)</f>
        <v/>
      </c>
      <c r="AR301" s="4" t="n"/>
      <c r="AS301" s="4" t="n"/>
      <c r="AT301" s="4">
        <f>AR301*(W301+7+30)</f>
        <v/>
      </c>
      <c r="AU301" s="4" t="n"/>
      <c r="AV301" s="4">
        <f>MAX(0,AT301-AD301-AC301)</f>
        <v/>
      </c>
      <c r="AW301" s="4" t="n"/>
      <c r="AX301" s="14">
        <f>TODAY()</f>
        <v/>
      </c>
      <c r="AY301" s="4" t="n"/>
      <c r="AZ301" s="4" t="n"/>
      <c r="BA301" s="16" t="n"/>
      <c r="BB301" s="16" t="n"/>
      <c r="BC301" s="16" t="n"/>
    </row>
    <row r="302" ht="14.25" customHeight="1" s="31">
      <c r="A302" s="4" t="n"/>
      <c r="B302" s="4" t="n"/>
      <c r="C302" s="4" t="n"/>
      <c r="D302" s="4" t="n"/>
      <c r="E302" s="19" t="n"/>
      <c r="F302" s="19" t="n"/>
      <c r="G302" s="4" t="n"/>
      <c r="H302" s="4" t="n"/>
      <c r="I302" s="4" t="n"/>
      <c r="J302" s="19">
        <f>K302*1000</f>
        <v/>
      </c>
      <c r="K302" s="4" t="n"/>
      <c r="L302" s="4" t="n"/>
      <c r="M302" s="4" t="n"/>
      <c r="N302" s="4" t="n"/>
      <c r="O302" s="4" t="n"/>
      <c r="P302" s="4" t="n"/>
      <c r="Q302" s="19">
        <f>ROUND((L302*M302*N302)/1000000,3)</f>
        <v/>
      </c>
      <c r="R302" s="4" t="n"/>
      <c r="S302" s="4" t="n"/>
      <c r="T302" s="4" t="n"/>
      <c r="U302" s="4" t="n"/>
      <c r="V302" s="4" t="n"/>
      <c r="W302" s="4" t="n"/>
      <c r="X302" s="4">
        <f>AR302*(W302+30)</f>
        <v/>
      </c>
      <c r="Y302" s="4" t="n"/>
      <c r="Z302" s="4">
        <f>AA302+AB302+AC302</f>
        <v/>
      </c>
      <c r="AA302" s="4" t="n"/>
      <c r="AB302" s="4" t="n"/>
      <c r="AC302" s="4" t="n"/>
      <c r="AD302" s="4">
        <f>AA302+AB302</f>
        <v/>
      </c>
      <c r="AE302" s="13">
        <f>IF(AD302&lt;=AT302,"库存不足",IF(AD302&gt;=AT302*1.5,"库存预警","库存正常"))</f>
        <v/>
      </c>
      <c r="AF302" s="4">
        <f>MAX(AT302-AA302-AB302,0)</f>
        <v/>
      </c>
      <c r="AG302" s="4">
        <f>MAX(X302-AD302,0)</f>
        <v/>
      </c>
      <c r="AH302" s="4">
        <f>AF302-AG302</f>
        <v/>
      </c>
      <c r="AI302" s="14">
        <f>AX302+(AA302+AB302)/AR302-60</f>
        <v/>
      </c>
      <c r="AJ302" s="4" t="n"/>
      <c r="AK302" s="4" t="n"/>
      <c r="AL302" s="4" t="n"/>
      <c r="AM302" s="4" t="n"/>
      <c r="AN302" s="4">
        <f>ROUND(AJ302/3,0)</f>
        <v/>
      </c>
      <c r="AO302" s="4">
        <f>ROUND(AK302/7,0)</f>
        <v/>
      </c>
      <c r="AP302" s="4">
        <f>ROUND(AL302/15,0)</f>
        <v/>
      </c>
      <c r="AQ302" s="4">
        <f>ROUND(AM302/30,0)</f>
        <v/>
      </c>
      <c r="AR302" s="4" t="n"/>
      <c r="AS302" s="4" t="n"/>
      <c r="AT302" s="4">
        <f>AR302*(W302+7+30)</f>
        <v/>
      </c>
      <c r="AU302" s="4" t="n"/>
      <c r="AV302" s="4">
        <f>MAX(0,AT302-AD302-AC302)</f>
        <v/>
      </c>
      <c r="AW302" s="4" t="n"/>
      <c r="AX302" s="14">
        <f>TODAY()</f>
        <v/>
      </c>
      <c r="AY302" s="4" t="n"/>
      <c r="AZ302" s="4" t="n"/>
      <c r="BA302" s="16" t="n"/>
      <c r="BB302" s="16" t="n"/>
      <c r="BC302" s="16" t="n"/>
    </row>
    <row r="303" ht="14.25" customHeight="1" s="31">
      <c r="A303" s="4" t="n"/>
      <c r="B303" s="4" t="n"/>
      <c r="C303" s="4" t="n"/>
      <c r="D303" s="4" t="n"/>
      <c r="E303" s="19" t="n"/>
      <c r="F303" s="19" t="n"/>
      <c r="G303" s="4" t="n"/>
      <c r="H303" s="4" t="n"/>
      <c r="I303" s="4" t="n"/>
      <c r="J303" s="19">
        <f>K303*1000</f>
        <v/>
      </c>
      <c r="K303" s="4" t="n"/>
      <c r="L303" s="4" t="n"/>
      <c r="M303" s="4" t="n"/>
      <c r="N303" s="4" t="n"/>
      <c r="O303" s="4" t="n"/>
      <c r="P303" s="4" t="n"/>
      <c r="Q303" s="19">
        <f>ROUND((L303*M303*N303)/1000000,3)</f>
        <v/>
      </c>
      <c r="R303" s="4" t="n"/>
      <c r="S303" s="4" t="n"/>
      <c r="T303" s="4" t="n"/>
      <c r="U303" s="4" t="n"/>
      <c r="V303" s="4" t="n"/>
      <c r="W303" s="4" t="n"/>
      <c r="X303" s="4">
        <f>AR303*(W303+30)</f>
        <v/>
      </c>
      <c r="Y303" s="4" t="n"/>
      <c r="Z303" s="4">
        <f>AA303+AB303+AC303</f>
        <v/>
      </c>
      <c r="AA303" s="4" t="n"/>
      <c r="AB303" s="4" t="n"/>
      <c r="AC303" s="4" t="n"/>
      <c r="AD303" s="4">
        <f>AA303+AB303</f>
        <v/>
      </c>
      <c r="AE303" s="13">
        <f>IF(AD303&lt;=AT303,"库存不足",IF(AD303&gt;=AT303*1.5,"库存预警","库存正常"))</f>
        <v/>
      </c>
      <c r="AF303" s="4">
        <f>MAX(AT303-AA303-AB303,0)</f>
        <v/>
      </c>
      <c r="AG303" s="4">
        <f>MAX(X303-AD303,0)</f>
        <v/>
      </c>
      <c r="AH303" s="4">
        <f>AF303-AG303</f>
        <v/>
      </c>
      <c r="AI303" s="14">
        <f>AX303+(AA303+AB303)/AR303-60</f>
        <v/>
      </c>
      <c r="AJ303" s="4" t="n"/>
      <c r="AK303" s="4" t="n"/>
      <c r="AL303" s="4" t="n"/>
      <c r="AM303" s="4" t="n"/>
      <c r="AN303" s="4">
        <f>ROUND(AJ303/3,0)</f>
        <v/>
      </c>
      <c r="AO303" s="4">
        <f>ROUND(AK303/7,0)</f>
        <v/>
      </c>
      <c r="AP303" s="4">
        <f>ROUND(AL303/15,0)</f>
        <v/>
      </c>
      <c r="AQ303" s="4">
        <f>ROUND(AM303/30,0)</f>
        <v/>
      </c>
      <c r="AR303" s="4" t="n"/>
      <c r="AS303" s="4" t="n"/>
      <c r="AT303" s="4">
        <f>AR303*(W303+7+30)</f>
        <v/>
      </c>
      <c r="AU303" s="4" t="n"/>
      <c r="AV303" s="4">
        <f>MAX(0,AT303-AD303-AC303)</f>
        <v/>
      </c>
      <c r="AW303" s="4" t="n"/>
      <c r="AX303" s="14">
        <f>TODAY()</f>
        <v/>
      </c>
      <c r="AY303" s="4" t="n"/>
      <c r="AZ303" s="4" t="n"/>
      <c r="BA303" s="16" t="n"/>
      <c r="BB303" s="16" t="n"/>
      <c r="BC303" s="16" t="n"/>
    </row>
    <row r="304" ht="14.25" customHeight="1" s="31">
      <c r="A304" s="4" t="n"/>
      <c r="B304" s="4" t="n"/>
      <c r="C304" s="4" t="n"/>
      <c r="D304" s="4" t="n"/>
      <c r="E304" s="4" t="n"/>
      <c r="F304" s="19" t="n"/>
      <c r="G304" s="4" t="n"/>
      <c r="H304" s="4" t="n"/>
      <c r="I304" s="4" t="n"/>
      <c r="J304" s="19">
        <f>K304*1000</f>
        <v/>
      </c>
      <c r="K304" s="4" t="n"/>
      <c r="L304" s="4" t="n"/>
      <c r="M304" s="4" t="n"/>
      <c r="N304" s="4" t="n"/>
      <c r="O304" s="4" t="n"/>
      <c r="P304" s="4" t="n"/>
      <c r="Q304" s="19">
        <f>ROUND((L304*M304*N304)/1000000,3)</f>
        <v/>
      </c>
      <c r="R304" s="4" t="n"/>
      <c r="S304" s="4" t="n"/>
      <c r="T304" s="4" t="n"/>
      <c r="U304" s="4" t="n"/>
      <c r="V304" s="4" t="n"/>
      <c r="W304" s="4" t="n"/>
      <c r="X304" s="4">
        <f>AR304*(W304+35+10)</f>
        <v/>
      </c>
      <c r="Y304" s="4">
        <f>AR304*(W304+35+10+45)</f>
        <v/>
      </c>
      <c r="Z304" s="4">
        <f>AA304+AB304+AC304</f>
        <v/>
      </c>
      <c r="AA304" s="4" t="n"/>
      <c r="AB304" s="4" t="n"/>
      <c r="AC304" s="4" t="n"/>
      <c r="AD304" s="4">
        <f>AA304+AB304</f>
        <v/>
      </c>
      <c r="AE304" s="13">
        <f>IF(AD304&lt;=AT304,"库存不足",IF(AD304&gt;=AT304*1.5,"库存预警","库存正常"))</f>
        <v/>
      </c>
      <c r="AF304" s="4">
        <f>MAX(AT304-AA304-AB304,0)</f>
        <v/>
      </c>
      <c r="AG304" s="4">
        <f>MAX(X304-AD304,0)</f>
        <v/>
      </c>
      <c r="AH304" s="4">
        <f>AF304-AG304</f>
        <v/>
      </c>
      <c r="AI304" s="14">
        <f>AX304+(AA304+AB304)/AR304-60</f>
        <v/>
      </c>
      <c r="AJ304" s="4" t="n"/>
      <c r="AK304" s="15" t="n"/>
      <c r="AL304" s="15" t="n"/>
      <c r="AM304" s="15" t="n"/>
      <c r="AN304" s="15" t="n"/>
      <c r="AO304" s="4">
        <f>ROUND(AK304/7,0)</f>
        <v/>
      </c>
      <c r="AP304" s="4">
        <f>ROUND(AL304/15,0)</f>
        <v/>
      </c>
      <c r="AQ304" s="4">
        <f>ROUND(AM304/30,0)</f>
        <v/>
      </c>
      <c r="AR304" s="4" t="n"/>
      <c r="AS304" s="4" t="n"/>
      <c r="AT304" s="4">
        <f>AR304*(W304+7+30)</f>
        <v/>
      </c>
      <c r="AU304" s="4" t="n"/>
      <c r="AV304" s="4">
        <f>MAX(0,AT304-AD304-AC304)</f>
        <v/>
      </c>
      <c r="AW304" s="4" t="n"/>
      <c r="AX304" s="14">
        <f>TODAY()</f>
        <v/>
      </c>
      <c r="AY304" s="4" t="n"/>
      <c r="AZ304" s="4" t="n"/>
      <c r="BA304" s="16" t="n"/>
      <c r="BB304" s="16" t="n"/>
      <c r="BC304" s="16" t="n"/>
    </row>
    <row r="305" ht="14.25" customHeight="1" s="31">
      <c r="A305" s="4" t="n"/>
      <c r="B305" s="4" t="n"/>
      <c r="C305" s="4" t="n"/>
      <c r="D305" s="4" t="n"/>
      <c r="E305" s="4" t="n"/>
      <c r="F305" s="19" t="n"/>
      <c r="G305" s="4" t="n"/>
      <c r="H305" s="4" t="n"/>
      <c r="I305" s="4" t="n"/>
      <c r="J305" s="19">
        <f>K305*1000</f>
        <v/>
      </c>
      <c r="K305" s="4" t="n"/>
      <c r="L305" s="4" t="n"/>
      <c r="M305" s="4" t="n"/>
      <c r="N305" s="4" t="n"/>
      <c r="O305" s="4" t="n"/>
      <c r="P305" s="4" t="n"/>
      <c r="Q305" s="19">
        <f>ROUND((L305*M305*N305)/1000000,3)</f>
        <v/>
      </c>
      <c r="R305" s="4" t="n"/>
      <c r="S305" s="4" t="n"/>
      <c r="T305" s="4" t="n"/>
      <c r="U305" s="4" t="n"/>
      <c r="V305" s="4" t="n"/>
      <c r="W305" s="4" t="n"/>
      <c r="X305" s="4">
        <f>AR305*(W305+35+10)</f>
        <v/>
      </c>
      <c r="Y305" s="4">
        <f>AR305*(W305+35+10+45)</f>
        <v/>
      </c>
      <c r="Z305" s="4">
        <f>AA305+AB305+AC305</f>
        <v/>
      </c>
      <c r="AA305" s="4" t="n"/>
      <c r="AB305" s="4" t="n"/>
      <c r="AC305" s="4" t="n"/>
      <c r="AD305" s="4">
        <f>AA305+AB305</f>
        <v/>
      </c>
      <c r="AE305" s="13">
        <f>IF(AD305&lt;=AT305,"库存不足",IF(AD305&gt;=AT305*1.5,"库存预警","库存正常"))</f>
        <v/>
      </c>
      <c r="AF305" s="4">
        <f>MAX(AT305-AA305-AB305,0)</f>
        <v/>
      </c>
      <c r="AG305" s="4">
        <f>MAX(X305-AD305,0)</f>
        <v/>
      </c>
      <c r="AH305" s="4">
        <f>AF305-AG305</f>
        <v/>
      </c>
      <c r="AI305" s="14">
        <f>AX305+(AA305+AB305)/AR305-60</f>
        <v/>
      </c>
      <c r="AJ305" s="4" t="n"/>
      <c r="AK305" s="15" t="n"/>
      <c r="AL305" s="15" t="n"/>
      <c r="AM305" s="15" t="n"/>
      <c r="AN305" s="15" t="n"/>
      <c r="AO305" s="4">
        <f>ROUND(AK305/7,0)</f>
        <v/>
      </c>
      <c r="AP305" s="4">
        <f>ROUND(AL305/15,0)</f>
        <v/>
      </c>
      <c r="AQ305" s="4">
        <f>ROUND(AM305/30,0)</f>
        <v/>
      </c>
      <c r="AR305" s="4" t="n"/>
      <c r="AS305" s="4" t="n"/>
      <c r="AT305" s="4">
        <f>AR305*(W305+7+30)</f>
        <v/>
      </c>
      <c r="AU305" s="4" t="n"/>
      <c r="AV305" s="4">
        <f>MAX(0,AT305-AD305-AC305)</f>
        <v/>
      </c>
      <c r="AW305" s="4" t="n"/>
      <c r="AX305" s="14">
        <f>TODAY()</f>
        <v/>
      </c>
      <c r="AY305" s="4" t="n"/>
      <c r="AZ305" s="4" t="n"/>
      <c r="BA305" s="16" t="n"/>
      <c r="BB305" s="16" t="n"/>
      <c r="BC305" s="16" t="n"/>
    </row>
    <row r="306" ht="14.25" customHeight="1" s="31">
      <c r="A306" s="4" t="n"/>
      <c r="B306" s="4" t="n"/>
      <c r="C306" s="4" t="n"/>
      <c r="D306" s="4" t="n"/>
      <c r="E306" s="4" t="n"/>
      <c r="F306" s="19" t="n"/>
      <c r="G306" s="4" t="n"/>
      <c r="H306" s="4" t="n"/>
      <c r="I306" s="4" t="n"/>
      <c r="J306" s="19">
        <f>K306*1000</f>
        <v/>
      </c>
      <c r="K306" s="4" t="n"/>
      <c r="L306" s="4" t="n"/>
      <c r="M306" s="4" t="n"/>
      <c r="N306" s="4" t="n"/>
      <c r="O306" s="4" t="n"/>
      <c r="P306" s="4" t="n"/>
      <c r="Q306" s="19">
        <f>ROUND((L306*M306*N306)/1000000,3)</f>
        <v/>
      </c>
      <c r="R306" s="4" t="n"/>
      <c r="S306" s="4" t="n"/>
      <c r="T306" s="4" t="n"/>
      <c r="U306" s="4" t="n"/>
      <c r="V306" s="4" t="n"/>
      <c r="W306" s="4" t="n"/>
      <c r="X306" s="4">
        <f>AR306*(W306+30)</f>
        <v/>
      </c>
      <c r="Y306" s="4" t="n"/>
      <c r="Z306" s="4">
        <f>AA306+AB306+AC306</f>
        <v/>
      </c>
      <c r="AA306" s="4" t="n"/>
      <c r="AB306" s="4" t="n"/>
      <c r="AC306" s="4" t="n"/>
      <c r="AD306" s="4">
        <f>AA306+AB306</f>
        <v/>
      </c>
      <c r="AE306" s="13">
        <f>IF(AD306&lt;=AT306,"库存不足",IF(AD306&gt;=AT306*1.5,"库存预警","库存正常"))</f>
        <v/>
      </c>
      <c r="AF306" s="4">
        <f>MAX(AT306-AA306-AB306,0)</f>
        <v/>
      </c>
      <c r="AG306" s="4">
        <f>MAX(X306-AD306,0)</f>
        <v/>
      </c>
      <c r="AH306" s="4">
        <f>AF306-AG306</f>
        <v/>
      </c>
      <c r="AI306" s="14">
        <f>AX306+(AA306+AB306)/AR306-60</f>
        <v/>
      </c>
      <c r="AJ306" s="4" t="n"/>
      <c r="AK306" s="4" t="n"/>
      <c r="AL306" s="4" t="n"/>
      <c r="AM306" s="4" t="n"/>
      <c r="AN306" s="4">
        <f>ROUND(AJ306/3,0)</f>
        <v/>
      </c>
      <c r="AO306" s="4">
        <f>ROUND(AK306/7,0)</f>
        <v/>
      </c>
      <c r="AP306" s="4">
        <f>ROUND(AL306/15,0)</f>
        <v/>
      </c>
      <c r="AQ306" s="4">
        <f>ROUND(AM306/30,0)</f>
        <v/>
      </c>
      <c r="AR306" s="4" t="n"/>
      <c r="AS306" s="4" t="n"/>
      <c r="AT306" s="4">
        <f>AR306*(W306+7+30)</f>
        <v/>
      </c>
      <c r="AU306" s="35" t="n"/>
      <c r="AV306" s="4">
        <f>MAX(0,AT306-AD306-AC306)</f>
        <v/>
      </c>
      <c r="AW306" s="4" t="n"/>
      <c r="AX306" s="14">
        <f>TODAY()</f>
        <v/>
      </c>
      <c r="AY306" s="4" t="n"/>
      <c r="AZ306" s="4" t="n"/>
      <c r="BA306" s="16" t="n"/>
      <c r="BB306" s="16" t="n"/>
      <c r="BC306" s="16" t="n"/>
    </row>
    <row r="307" ht="14.25" customHeight="1" s="31">
      <c r="A307" s="4" t="n"/>
      <c r="B307" s="4" t="n"/>
      <c r="C307" s="4" t="n"/>
      <c r="D307" s="4" t="n"/>
      <c r="E307" s="4" t="n"/>
      <c r="F307" s="19" t="n"/>
      <c r="G307" s="4" t="n"/>
      <c r="H307" s="4" t="n"/>
      <c r="I307" s="4" t="n"/>
      <c r="J307" s="19">
        <f>K307*1000</f>
        <v/>
      </c>
      <c r="K307" s="4" t="n"/>
      <c r="L307" s="4" t="n"/>
      <c r="M307" s="4" t="n"/>
      <c r="N307" s="4" t="n"/>
      <c r="O307" s="4" t="n"/>
      <c r="P307" s="4" t="n"/>
      <c r="Q307" s="19">
        <f>ROUND((L307*M307*N307)/1000000,3)</f>
        <v/>
      </c>
      <c r="R307" s="4" t="n"/>
      <c r="S307" s="4" t="n"/>
      <c r="T307" s="4" t="n"/>
      <c r="U307" s="4" t="n"/>
      <c r="V307" s="4" t="n"/>
      <c r="W307" s="4" t="n"/>
      <c r="X307" s="4">
        <f>AR307*(W307+30)</f>
        <v/>
      </c>
      <c r="Y307" s="4" t="n"/>
      <c r="Z307" s="4">
        <f>AA307+AB307+AC307</f>
        <v/>
      </c>
      <c r="AA307" s="4" t="n"/>
      <c r="AB307" s="4" t="n"/>
      <c r="AC307" s="4" t="n"/>
      <c r="AD307" s="4">
        <f>AA307+AB307</f>
        <v/>
      </c>
      <c r="AE307" s="13">
        <f>IF(AD307&lt;=AT307,"库存不足",IF(AD307&gt;=AT307*1.5,"库存预警","库存正常"))</f>
        <v/>
      </c>
      <c r="AF307" s="4">
        <f>MAX(AT307-AA307-AB307,0)</f>
        <v/>
      </c>
      <c r="AG307" s="4">
        <f>MAX(X307-AD307,0)</f>
        <v/>
      </c>
      <c r="AH307" s="4">
        <f>AF307-AG307</f>
        <v/>
      </c>
      <c r="AI307" s="14">
        <f>AX307+(AA307+AB307)/AR307-60</f>
        <v/>
      </c>
      <c r="AJ307" s="4" t="n"/>
      <c r="AK307" s="4" t="n"/>
      <c r="AL307" s="4" t="n"/>
      <c r="AM307" s="4" t="n"/>
      <c r="AN307" s="4">
        <f>ROUND(AJ307/3,0)</f>
        <v/>
      </c>
      <c r="AO307" s="4">
        <f>ROUND(AK307/7,0)</f>
        <v/>
      </c>
      <c r="AP307" s="4">
        <f>ROUND(AL307/15,0)</f>
        <v/>
      </c>
      <c r="AQ307" s="4">
        <f>ROUND(AM307/30,0)</f>
        <v/>
      </c>
      <c r="AR307" s="4" t="n"/>
      <c r="AS307" s="4" t="n"/>
      <c r="AT307" s="4">
        <f>AR307*(W307+7+30)</f>
        <v/>
      </c>
      <c r="AU307" s="35" t="n"/>
      <c r="AV307" s="4">
        <f>MAX(0,AT307-AD307-AC307)</f>
        <v/>
      </c>
      <c r="AW307" s="4" t="n"/>
      <c r="AX307" s="14">
        <f>TODAY()</f>
        <v/>
      </c>
      <c r="AY307" s="4" t="n"/>
      <c r="AZ307" s="4" t="n"/>
      <c r="BA307" s="16" t="n"/>
      <c r="BB307" s="16" t="n"/>
      <c r="BC307" s="16" t="n"/>
    </row>
    <row r="308" ht="14.25" customHeight="1" s="31">
      <c r="A308" s="4" t="n"/>
      <c r="B308" s="4" t="n"/>
      <c r="C308" s="4" t="n"/>
      <c r="D308" s="4" t="n"/>
      <c r="E308" s="4" t="n"/>
      <c r="F308" s="19" t="n"/>
      <c r="G308" s="4" t="n"/>
      <c r="H308" s="4" t="n"/>
      <c r="I308" s="4" t="n"/>
      <c r="J308" s="19">
        <f>K308*1000</f>
        <v/>
      </c>
      <c r="K308" s="4" t="n"/>
      <c r="L308" s="4" t="n"/>
      <c r="M308" s="4" t="n"/>
      <c r="N308" s="4" t="n"/>
      <c r="O308" s="4" t="n"/>
      <c r="P308" s="4" t="n"/>
      <c r="Q308" s="19">
        <f>ROUND((L308*M308*N308)/1000000,3)</f>
        <v/>
      </c>
      <c r="R308" s="4" t="n"/>
      <c r="S308" s="4" t="n"/>
      <c r="T308" s="4" t="n"/>
      <c r="U308" s="4" t="n"/>
      <c r="V308" s="4" t="n"/>
      <c r="W308" s="4" t="n"/>
      <c r="X308" s="4">
        <f>AR308*(W308+30)</f>
        <v/>
      </c>
      <c r="Y308" s="4" t="n"/>
      <c r="Z308" s="4">
        <f>AA308+AB308+AC308</f>
        <v/>
      </c>
      <c r="AA308" s="4" t="n"/>
      <c r="AB308" s="4" t="n"/>
      <c r="AC308" s="4" t="n"/>
      <c r="AD308" s="4">
        <f>AA308+AB308</f>
        <v/>
      </c>
      <c r="AE308" s="13">
        <f>IF(AD308&lt;=AT308,"库存不足",IF(AD308&gt;=AT308*1.5,"库存预警","库存正常"))</f>
        <v/>
      </c>
      <c r="AF308" s="4">
        <f>MAX(AT308-AA308-AB308,0)</f>
        <v/>
      </c>
      <c r="AG308" s="4">
        <f>MAX(X308-AD308,0)</f>
        <v/>
      </c>
      <c r="AH308" s="4">
        <f>AF308-AG308</f>
        <v/>
      </c>
      <c r="AI308" s="14">
        <f>AX308+(AA308+AB308)/AR308-60</f>
        <v/>
      </c>
      <c r="AJ308" s="4" t="n"/>
      <c r="AK308" s="4" t="n"/>
      <c r="AL308" s="4" t="n"/>
      <c r="AM308" s="4" t="n"/>
      <c r="AN308" s="4">
        <f>ROUND(AJ308/3,0)</f>
        <v/>
      </c>
      <c r="AO308" s="4">
        <f>ROUND(AK308/7,0)</f>
        <v/>
      </c>
      <c r="AP308" s="4">
        <f>ROUND(AL308/15,0)</f>
        <v/>
      </c>
      <c r="AQ308" s="4">
        <f>ROUND(AM308/30,0)</f>
        <v/>
      </c>
      <c r="AR308" s="4" t="n"/>
      <c r="AS308" s="4" t="n"/>
      <c r="AT308" s="4">
        <f>AR308*(W308+7+30)</f>
        <v/>
      </c>
      <c r="AU308" s="35" t="n"/>
      <c r="AV308" s="4">
        <f>MAX(0,AT308-AD308-AC308)</f>
        <v/>
      </c>
      <c r="AW308" s="4" t="n"/>
      <c r="AX308" s="14">
        <f>TODAY()</f>
        <v/>
      </c>
      <c r="AY308" s="4" t="n"/>
      <c r="AZ308" s="4" t="n"/>
      <c r="BA308" s="16" t="n"/>
      <c r="BB308" s="16" t="n"/>
      <c r="BC308" s="16" t="n"/>
    </row>
    <row r="309" ht="14.25" customHeight="1" s="31">
      <c r="A309" s="4" t="n"/>
      <c r="B309" s="4" t="n"/>
      <c r="C309" s="4" t="n"/>
      <c r="D309" s="4" t="n"/>
      <c r="E309" s="4" t="n"/>
      <c r="F309" s="19" t="n"/>
      <c r="G309" s="4" t="n"/>
      <c r="H309" s="4" t="n"/>
      <c r="I309" s="4" t="n"/>
      <c r="J309" s="19">
        <f>K309*1000</f>
        <v/>
      </c>
      <c r="K309" s="4" t="n"/>
      <c r="L309" s="4" t="n"/>
      <c r="M309" s="4" t="n"/>
      <c r="N309" s="4" t="n"/>
      <c r="O309" s="4" t="n"/>
      <c r="P309" s="4" t="n"/>
      <c r="Q309" s="19">
        <f>ROUND((L309*M309*N309)/1000000,3)</f>
        <v/>
      </c>
      <c r="R309" s="4" t="n"/>
      <c r="S309" s="4" t="n"/>
      <c r="T309" s="4" t="n"/>
      <c r="U309" s="4" t="n"/>
      <c r="V309" s="4" t="n"/>
      <c r="W309" s="4" t="n"/>
      <c r="X309" s="4">
        <f>AR309*(W309+30)</f>
        <v/>
      </c>
      <c r="Y309" s="4" t="n"/>
      <c r="Z309" s="4">
        <f>AA309+AB309+AC309</f>
        <v/>
      </c>
      <c r="AA309" s="4" t="n"/>
      <c r="AB309" s="4" t="n"/>
      <c r="AC309" s="4" t="n"/>
      <c r="AD309" s="4">
        <f>AA309+AB309</f>
        <v/>
      </c>
      <c r="AE309" s="13">
        <f>IF(AD309&lt;=AT309,"库存不足",IF(AD309&gt;=AT309*1.5,"库存预警","库存正常"))</f>
        <v/>
      </c>
      <c r="AF309" s="4">
        <f>MAX(AT309-AA309-AB309,0)</f>
        <v/>
      </c>
      <c r="AG309" s="4">
        <f>MAX(X309-AD309,0)</f>
        <v/>
      </c>
      <c r="AH309" s="4">
        <f>AF309-AG309</f>
        <v/>
      </c>
      <c r="AI309" s="14">
        <f>AX309+(AA309+AB309)/AR309-60</f>
        <v/>
      </c>
      <c r="AJ309" s="4" t="n"/>
      <c r="AK309" s="4" t="n"/>
      <c r="AL309" s="4" t="n"/>
      <c r="AM309" s="4" t="n"/>
      <c r="AN309" s="4">
        <f>ROUND(AJ309/3,0)</f>
        <v/>
      </c>
      <c r="AO309" s="4">
        <f>ROUND(AK309/7,0)</f>
        <v/>
      </c>
      <c r="AP309" s="4">
        <f>ROUND(AL309/15,0)</f>
        <v/>
      </c>
      <c r="AQ309" s="4">
        <f>ROUND(AM309/30,0)</f>
        <v/>
      </c>
      <c r="AR309" s="4" t="n"/>
      <c r="AS309" s="4" t="n"/>
      <c r="AT309" s="4">
        <f>AR309*(W309+7+30)</f>
        <v/>
      </c>
      <c r="AU309" s="35" t="n"/>
      <c r="AV309" s="4">
        <f>MAX(0,AT309-AD309-AC309)</f>
        <v/>
      </c>
      <c r="AW309" s="4" t="n"/>
      <c r="AX309" s="14">
        <f>TODAY()</f>
        <v/>
      </c>
      <c r="AY309" s="4" t="n"/>
      <c r="AZ309" s="4" t="n"/>
      <c r="BA309" s="16" t="n"/>
      <c r="BB309" s="16" t="n"/>
      <c r="BC309" s="16" t="n"/>
    </row>
    <row r="310" ht="14.25" customHeight="1" s="31">
      <c r="A310" s="4" t="n"/>
      <c r="B310" s="4" t="n"/>
      <c r="C310" s="4" t="n"/>
      <c r="D310" s="4" t="n"/>
      <c r="E310" s="4" t="n"/>
      <c r="F310" s="19" t="n"/>
      <c r="G310" s="4" t="n"/>
      <c r="H310" s="4" t="n"/>
      <c r="I310" s="4" t="n"/>
      <c r="J310" s="19">
        <f>K310*1000</f>
        <v/>
      </c>
      <c r="K310" s="4" t="n"/>
      <c r="L310" s="4" t="n"/>
      <c r="M310" s="4" t="n"/>
      <c r="N310" s="4" t="n"/>
      <c r="O310" s="4" t="n"/>
      <c r="P310" s="4" t="n"/>
      <c r="Q310" s="19">
        <f>ROUND((L310*M310*N310)/1000000,3)</f>
        <v/>
      </c>
      <c r="R310" s="4" t="n"/>
      <c r="S310" s="4" t="n"/>
      <c r="T310" s="4" t="n"/>
      <c r="U310" s="4" t="n"/>
      <c r="V310" s="4" t="n"/>
      <c r="W310" s="4" t="n"/>
      <c r="X310" s="4">
        <f>AR310*(W310+30)</f>
        <v/>
      </c>
      <c r="Y310" s="4" t="n"/>
      <c r="Z310" s="4">
        <f>AA310+AB310+AC310</f>
        <v/>
      </c>
      <c r="AA310" s="4" t="n"/>
      <c r="AB310" s="4" t="n"/>
      <c r="AC310" s="4" t="n"/>
      <c r="AD310" s="4">
        <f>AA310+AB310</f>
        <v/>
      </c>
      <c r="AE310" s="13">
        <f>IF(AD310&lt;=AT310,"库存不足",IF(AD310&gt;=AT310*1.5,"库存预警","库存正常"))</f>
        <v/>
      </c>
      <c r="AF310" s="4">
        <f>MAX(AT310-AA310-AB310,0)</f>
        <v/>
      </c>
      <c r="AG310" s="4">
        <f>MAX(X310-AD310,0)</f>
        <v/>
      </c>
      <c r="AH310" s="4">
        <f>AF310-AG310</f>
        <v/>
      </c>
      <c r="AI310" s="14">
        <f>AX310+(AA310+AB310)/AR310-60</f>
        <v/>
      </c>
      <c r="AJ310" s="4" t="n"/>
      <c r="AK310" s="4" t="n"/>
      <c r="AL310" s="4" t="n"/>
      <c r="AM310" s="4" t="n"/>
      <c r="AN310" s="4">
        <f>ROUND(AJ310/3,0)</f>
        <v/>
      </c>
      <c r="AO310" s="4">
        <f>ROUND(AK310/7,0)</f>
        <v/>
      </c>
      <c r="AP310" s="4">
        <f>ROUND(AL310/15,0)</f>
        <v/>
      </c>
      <c r="AQ310" s="4">
        <f>ROUND(AM310/30,0)</f>
        <v/>
      </c>
      <c r="AR310" s="4" t="n"/>
      <c r="AS310" s="4" t="n"/>
      <c r="AT310" s="4">
        <f>AR310*(W310+7+30)</f>
        <v/>
      </c>
      <c r="AU310" s="35" t="n"/>
      <c r="AV310" s="4">
        <f>MAX(0,AT310-AD310-AC310)</f>
        <v/>
      </c>
      <c r="AW310" s="4" t="n"/>
      <c r="AX310" s="14">
        <f>TODAY()</f>
        <v/>
      </c>
      <c r="AY310" s="4" t="n"/>
      <c r="AZ310" s="4" t="n"/>
      <c r="BA310" s="16" t="n"/>
      <c r="BB310" s="16" t="n"/>
      <c r="BC310" s="16" t="n"/>
    </row>
    <row r="311" ht="14.25" customHeight="1" s="31">
      <c r="A311" s="4" t="n"/>
      <c r="B311" s="4" t="n"/>
      <c r="C311" s="4" t="n"/>
      <c r="D311" s="4" t="n"/>
      <c r="E311" s="4" t="n"/>
      <c r="F311" s="19" t="n"/>
      <c r="G311" s="4" t="n"/>
      <c r="H311" s="4" t="n"/>
      <c r="I311" s="4" t="n"/>
      <c r="J311" s="19">
        <f>K311*1000</f>
        <v/>
      </c>
      <c r="K311" s="4" t="n"/>
      <c r="L311" s="4" t="n"/>
      <c r="M311" s="4" t="n"/>
      <c r="N311" s="4" t="n"/>
      <c r="O311" s="4" t="n"/>
      <c r="P311" s="4" t="n"/>
      <c r="Q311" s="19">
        <f>ROUND((L311*M311*N311)/1000000,3)</f>
        <v/>
      </c>
      <c r="R311" s="4" t="n"/>
      <c r="S311" s="4" t="n"/>
      <c r="T311" s="4" t="n"/>
      <c r="U311" s="4" t="n"/>
      <c r="V311" s="4" t="n"/>
      <c r="W311" s="4" t="n"/>
      <c r="X311" s="4">
        <f>AR311*(W311+30)</f>
        <v/>
      </c>
      <c r="Y311" s="4" t="n"/>
      <c r="Z311" s="4">
        <f>AA311+AB311+AC311</f>
        <v/>
      </c>
      <c r="AA311" s="4" t="n"/>
      <c r="AB311" s="4" t="n"/>
      <c r="AC311" s="4" t="n"/>
      <c r="AD311" s="4">
        <f>AA311+AB311</f>
        <v/>
      </c>
      <c r="AE311" s="13">
        <f>IF(AD311&lt;=AT311,"库存不足",IF(AD311&gt;=AT311*1.5,"库存预警","库存正常"))</f>
        <v/>
      </c>
      <c r="AF311" s="4">
        <f>MAX(AT311-AA311-AB311,0)</f>
        <v/>
      </c>
      <c r="AG311" s="4">
        <f>MAX(X311-AD311,0)</f>
        <v/>
      </c>
      <c r="AH311" s="4">
        <f>AF311-AG311</f>
        <v/>
      </c>
      <c r="AI311" s="14">
        <f>AX311+(AA311+AB311)/AR311-60</f>
        <v/>
      </c>
      <c r="AJ311" s="4" t="n"/>
      <c r="AK311" s="4" t="n"/>
      <c r="AL311" s="4" t="n"/>
      <c r="AM311" s="4" t="n"/>
      <c r="AN311" s="4">
        <f>ROUND(AJ311/3,0)</f>
        <v/>
      </c>
      <c r="AO311" s="4">
        <f>ROUND(AK311/7,0)</f>
        <v/>
      </c>
      <c r="AP311" s="4">
        <f>ROUND(AL311/15,0)</f>
        <v/>
      </c>
      <c r="AQ311" s="4">
        <f>ROUND(AM311/30,0)</f>
        <v/>
      </c>
      <c r="AR311" s="4" t="n"/>
      <c r="AS311" s="4" t="n"/>
      <c r="AT311" s="4">
        <f>AR311*(W311+7+30)</f>
        <v/>
      </c>
      <c r="AU311" s="35" t="n"/>
      <c r="AV311" s="4">
        <f>MAX(0,AT311-AD311-AC311)</f>
        <v/>
      </c>
      <c r="AW311" s="4" t="n"/>
      <c r="AX311" s="14">
        <f>TODAY()</f>
        <v/>
      </c>
      <c r="AY311" s="4" t="n"/>
      <c r="AZ311" s="4" t="n"/>
      <c r="BA311" s="16" t="n"/>
      <c r="BB311" s="16" t="n"/>
      <c r="BC311" s="16" t="n"/>
    </row>
    <row r="312" ht="14.25" customHeight="1" s="31">
      <c r="A312" s="4" t="n"/>
      <c r="B312" s="4" t="n"/>
      <c r="C312" s="19" t="n"/>
      <c r="D312" s="4" t="n"/>
      <c r="E312" s="4" t="n"/>
      <c r="F312" s="19" t="n"/>
      <c r="G312" s="4" t="n"/>
      <c r="H312" s="4" t="n"/>
      <c r="I312" s="4" t="n"/>
      <c r="J312" s="19">
        <f>K312*1000</f>
        <v/>
      </c>
      <c r="K312" s="4" t="n"/>
      <c r="L312" s="4" t="n"/>
      <c r="M312" s="4" t="n"/>
      <c r="N312" s="4" t="n"/>
      <c r="O312" s="4" t="n"/>
      <c r="P312" s="4" t="n"/>
      <c r="Q312" s="19">
        <f>ROUND((L312*M312*N312)/1000000,3)</f>
        <v/>
      </c>
      <c r="R312" s="4" t="n"/>
      <c r="S312" s="4" t="n"/>
      <c r="T312" s="4" t="n"/>
      <c r="U312" s="4" t="n"/>
      <c r="V312" s="4" t="n"/>
      <c r="W312" s="4" t="n"/>
      <c r="X312" s="4">
        <f>AR312*(W312+35+10)</f>
        <v/>
      </c>
      <c r="Y312" s="4">
        <f>AR312*(W312+35+10+45)</f>
        <v/>
      </c>
      <c r="Z312" s="4">
        <f>AA312+AB312+AC312</f>
        <v/>
      </c>
      <c r="AA312" s="4" t="n"/>
      <c r="AB312" s="4" t="n"/>
      <c r="AC312" s="4" t="n"/>
      <c r="AD312" s="4">
        <f>AA312+AB312</f>
        <v/>
      </c>
      <c r="AE312" s="13">
        <f>IF(AD312&lt;=AT312,"库存不足",IF(AD312&gt;=AT312*1.5,"库存预警","库存正常"))</f>
        <v/>
      </c>
      <c r="AF312" s="4">
        <f>MAX(AT312-AA312-AB312,0)</f>
        <v/>
      </c>
      <c r="AG312" s="4">
        <f>MAX(X312-AD312,0)</f>
        <v/>
      </c>
      <c r="AH312" s="4">
        <f>AF312-AG312</f>
        <v/>
      </c>
      <c r="AI312" s="14">
        <f>AX312+(AA312+AB312)/AR312-60</f>
        <v/>
      </c>
      <c r="AJ312" s="4" t="n"/>
      <c r="AK312" s="4" t="n"/>
      <c r="AL312" s="4" t="n"/>
      <c r="AM312" s="4" t="n"/>
      <c r="AN312" s="4">
        <f>ROUND(AJ312/3,0)</f>
        <v/>
      </c>
      <c r="AO312" s="4">
        <f>ROUND(AK312/7,0)</f>
        <v/>
      </c>
      <c r="AP312" s="4">
        <f>ROUND(AL312/15,0)</f>
        <v/>
      </c>
      <c r="AQ312" s="4">
        <f>ROUND(AM312/30,0)</f>
        <v/>
      </c>
      <c r="AR312" s="4" t="n"/>
      <c r="AS312" s="4" t="n"/>
      <c r="AT312" s="4">
        <f>AR312*(W312+7+30)</f>
        <v/>
      </c>
      <c r="AU312" s="4" t="n"/>
      <c r="AV312" s="4">
        <f>MAX(0,AT312-AD312-AC312)</f>
        <v/>
      </c>
      <c r="AW312" s="4" t="n"/>
      <c r="AX312" s="14">
        <f>TODAY()</f>
        <v/>
      </c>
      <c r="AY312" s="4" t="n"/>
      <c r="AZ312" s="4" t="n"/>
      <c r="BA312" s="16" t="n"/>
      <c r="BB312" s="16" t="n"/>
      <c r="BC312" s="16" t="n"/>
    </row>
    <row r="313" ht="14.25" customHeight="1" s="31">
      <c r="A313" s="4" t="n"/>
      <c r="B313" s="4" t="n"/>
      <c r="C313" s="19" t="n"/>
      <c r="D313" s="4" t="n"/>
      <c r="E313" s="4" t="n"/>
      <c r="F313" s="19" t="n"/>
      <c r="G313" s="4" t="n"/>
      <c r="H313" s="4" t="n"/>
      <c r="I313" s="4" t="n"/>
      <c r="J313" s="19">
        <f>K313*1000</f>
        <v/>
      </c>
      <c r="K313" s="4" t="n"/>
      <c r="L313" s="4" t="n"/>
      <c r="M313" s="4" t="n"/>
      <c r="N313" s="4" t="n"/>
      <c r="O313" s="4" t="n"/>
      <c r="P313" s="4" t="n"/>
      <c r="Q313" s="19">
        <f>ROUND((L313*M313*N313)/1000000,3)</f>
        <v/>
      </c>
      <c r="R313" s="4" t="n"/>
      <c r="S313" s="4" t="n"/>
      <c r="T313" s="4" t="n"/>
      <c r="U313" s="4" t="n"/>
      <c r="V313" s="4" t="n"/>
      <c r="W313" s="4" t="n"/>
      <c r="X313" s="4">
        <f>AR313*(W313+35+10)</f>
        <v/>
      </c>
      <c r="Y313" s="4">
        <f>AR313*(W313+35+10+45)</f>
        <v/>
      </c>
      <c r="Z313" s="4">
        <f>AA313+AB313+AC313</f>
        <v/>
      </c>
      <c r="AA313" s="4" t="n"/>
      <c r="AB313" s="4" t="n"/>
      <c r="AC313" s="4" t="n"/>
      <c r="AD313" s="4">
        <f>AA313+AB313</f>
        <v/>
      </c>
      <c r="AE313" s="13">
        <f>IF(AD313&lt;=AT313,"库存不足",IF(AD313&gt;=AT313*1.5,"库存预警","库存正常"))</f>
        <v/>
      </c>
      <c r="AF313" s="4">
        <f>MAX(AT313-AA313-AB313,0)</f>
        <v/>
      </c>
      <c r="AG313" s="4">
        <f>MAX(X313-AD313,0)</f>
        <v/>
      </c>
      <c r="AH313" s="4">
        <f>AF313-AG313</f>
        <v/>
      </c>
      <c r="AI313" s="14">
        <f>AX313+(AA313+AB313)/AR313-60</f>
        <v/>
      </c>
      <c r="AJ313" s="4" t="n"/>
      <c r="AK313" s="15" t="n"/>
      <c r="AL313" s="15" t="n"/>
      <c r="AM313" s="15" t="n"/>
      <c r="AN313" s="15" t="n"/>
      <c r="AO313" s="4">
        <f>ROUND(AK313/7,0)</f>
        <v/>
      </c>
      <c r="AP313" s="4">
        <f>ROUND(AL313/15,0)</f>
        <v/>
      </c>
      <c r="AQ313" s="4">
        <f>ROUND(AM313/30,0)</f>
        <v/>
      </c>
      <c r="AR313" s="4" t="n"/>
      <c r="AS313" s="4" t="n"/>
      <c r="AT313" s="4">
        <f>AR313*(W313+7+30)</f>
        <v/>
      </c>
      <c r="AU313" s="4" t="n"/>
      <c r="AV313" s="4">
        <f>MAX(0,AT313-AD313-AC313)</f>
        <v/>
      </c>
      <c r="AW313" s="4" t="n"/>
      <c r="AX313" s="14">
        <f>TODAY()</f>
        <v/>
      </c>
      <c r="AY313" s="4" t="n"/>
      <c r="AZ313" s="4" t="n"/>
      <c r="BA313" s="16" t="n"/>
      <c r="BB313" s="16" t="n"/>
      <c r="BC313" s="16" t="n"/>
    </row>
    <row r="314" ht="14.25" customHeight="1" s="31">
      <c r="A314" s="4" t="n"/>
      <c r="B314" s="4" t="n"/>
      <c r="C314" s="19" t="n"/>
      <c r="D314" s="4" t="n"/>
      <c r="E314" s="4" t="n"/>
      <c r="F314" s="19" t="n"/>
      <c r="G314" s="4" t="n"/>
      <c r="H314" s="4" t="n"/>
      <c r="I314" s="4" t="n"/>
      <c r="J314" s="19">
        <f>K314*1000</f>
        <v/>
      </c>
      <c r="K314" s="4" t="n"/>
      <c r="L314" s="4" t="n"/>
      <c r="M314" s="4" t="n"/>
      <c r="N314" s="4" t="n"/>
      <c r="O314" s="4" t="n"/>
      <c r="P314" s="4" t="n"/>
      <c r="Q314" s="19">
        <f>ROUND((L314*M314*N314)/1000000,3)</f>
        <v/>
      </c>
      <c r="R314" s="4" t="n"/>
      <c r="S314" s="4" t="n"/>
      <c r="T314" s="4" t="n"/>
      <c r="U314" s="4" t="n"/>
      <c r="V314" s="4" t="n"/>
      <c r="W314" s="4" t="n"/>
      <c r="X314" s="4">
        <f>AR314*(W314+35+10)</f>
        <v/>
      </c>
      <c r="Y314" s="4">
        <f>AR314*(W314+35+10+45)</f>
        <v/>
      </c>
      <c r="Z314" s="4">
        <f>AA314+AB314+AC314</f>
        <v/>
      </c>
      <c r="AA314" s="4" t="n"/>
      <c r="AB314" s="4" t="n"/>
      <c r="AC314" s="4" t="n"/>
      <c r="AD314" s="4">
        <f>AA314+AB314</f>
        <v/>
      </c>
      <c r="AE314" s="13">
        <f>IF(AD314&lt;=AT314,"库存不足",IF(AD314&gt;=AT314*1.5,"库存预警","库存正常"))</f>
        <v/>
      </c>
      <c r="AF314" s="4">
        <f>MAX(AT314-AA314-AB314,0)</f>
        <v/>
      </c>
      <c r="AG314" s="4">
        <f>MAX(X314-AD314,0)</f>
        <v/>
      </c>
      <c r="AH314" s="4">
        <f>AF314-AG314</f>
        <v/>
      </c>
      <c r="AI314" s="14">
        <f>AX314+(AA314+AB314)/AR314-60</f>
        <v/>
      </c>
      <c r="AJ314" s="4" t="n"/>
      <c r="AK314" s="15" t="n"/>
      <c r="AL314" s="15" t="n"/>
      <c r="AM314" s="15" t="n"/>
      <c r="AN314" s="15" t="n"/>
      <c r="AO314" s="4">
        <f>ROUND(AK314/7,0)</f>
        <v/>
      </c>
      <c r="AP314" s="4">
        <f>ROUND(AL314/15,0)</f>
        <v/>
      </c>
      <c r="AQ314" s="4">
        <f>ROUND(AM314/30,0)</f>
        <v/>
      </c>
      <c r="AR314" s="4" t="n"/>
      <c r="AS314" s="4" t="n"/>
      <c r="AT314" s="4">
        <f>AR314*(W314+7+30)</f>
        <v/>
      </c>
      <c r="AU314" s="4" t="n"/>
      <c r="AV314" s="4">
        <f>MAX(0,AT314-AD314-AC314)</f>
        <v/>
      </c>
      <c r="AW314" s="4" t="n"/>
      <c r="AX314" s="14">
        <f>TODAY()</f>
        <v/>
      </c>
      <c r="AY314" s="4" t="n"/>
      <c r="AZ314" s="4" t="n"/>
      <c r="BA314" s="16" t="n"/>
      <c r="BB314" s="16" t="n"/>
      <c r="BC314" s="16" t="n"/>
    </row>
    <row r="315" ht="14.25" customHeight="1" s="31">
      <c r="A315" s="4" t="n"/>
      <c r="B315" s="4" t="n"/>
      <c r="C315" s="19" t="n"/>
      <c r="D315" s="4" t="n"/>
      <c r="E315" s="4" t="n"/>
      <c r="F315" s="19" t="n"/>
      <c r="G315" s="4" t="n"/>
      <c r="H315" s="4" t="n"/>
      <c r="I315" s="4" t="n"/>
      <c r="J315" s="19">
        <f>K315*1000</f>
        <v/>
      </c>
      <c r="K315" s="4" t="n"/>
      <c r="L315" s="4" t="n"/>
      <c r="M315" s="4" t="n"/>
      <c r="N315" s="4" t="n"/>
      <c r="O315" s="4" t="n"/>
      <c r="P315" s="4" t="n"/>
      <c r="Q315" s="19">
        <f>ROUND((L315*M315*N315)/1000000,3)</f>
        <v/>
      </c>
      <c r="R315" s="4" t="n"/>
      <c r="S315" s="4" t="n"/>
      <c r="T315" s="4" t="n"/>
      <c r="U315" s="4" t="n"/>
      <c r="V315" s="4" t="n"/>
      <c r="W315" s="4" t="n"/>
      <c r="X315" s="4">
        <f>AR315*(W315+35+10)</f>
        <v/>
      </c>
      <c r="Y315" s="4">
        <f>AR315*(W315+35+10+45)</f>
        <v/>
      </c>
      <c r="Z315" s="4">
        <f>AA315+AB315+AC315</f>
        <v/>
      </c>
      <c r="AA315" s="4" t="n"/>
      <c r="AB315" s="4" t="n"/>
      <c r="AC315" s="4" t="n"/>
      <c r="AD315" s="4">
        <f>AA315+AB315</f>
        <v/>
      </c>
      <c r="AE315" s="13">
        <f>IF(AD315&lt;=AT315,"库存不足",IF(AD315&gt;=AT315*1.5,"库存预警","库存正常"))</f>
        <v/>
      </c>
      <c r="AF315" s="4">
        <f>MAX(AT315-AA315-AB315,0)</f>
        <v/>
      </c>
      <c r="AG315" s="4">
        <f>MAX(X315-AD315,0)</f>
        <v/>
      </c>
      <c r="AH315" s="4">
        <f>AF315-AG315</f>
        <v/>
      </c>
      <c r="AI315" s="14">
        <f>AX315+(AA315+AB315)/AR315-60</f>
        <v/>
      </c>
      <c r="AJ315" s="4" t="n"/>
      <c r="AK315" s="15" t="n"/>
      <c r="AL315" s="15" t="n"/>
      <c r="AM315" s="15" t="n"/>
      <c r="AN315" s="15" t="n"/>
      <c r="AO315" s="4">
        <f>ROUND(AK315/7,0)</f>
        <v/>
      </c>
      <c r="AP315" s="4">
        <f>ROUND(AL315/15,0)</f>
        <v/>
      </c>
      <c r="AQ315" s="4">
        <f>ROUND(AM315/30,0)</f>
        <v/>
      </c>
      <c r="AR315" s="4" t="n"/>
      <c r="AS315" s="4" t="n"/>
      <c r="AT315" s="4">
        <f>AR315*(W315+7+30)</f>
        <v/>
      </c>
      <c r="AU315" s="4" t="n"/>
      <c r="AV315" s="4">
        <f>MAX(0,AT315-AD315-AC315)</f>
        <v/>
      </c>
      <c r="AW315" s="4" t="n"/>
      <c r="AX315" s="14">
        <f>TODAY()</f>
        <v/>
      </c>
      <c r="AY315" s="4" t="n"/>
      <c r="AZ315" s="4" t="n"/>
      <c r="BA315" s="16" t="n"/>
      <c r="BB315" s="16" t="n"/>
      <c r="BC315" s="16" t="n"/>
    </row>
    <row r="316" ht="14.25" customHeight="1" s="31">
      <c r="A316" s="4" t="n"/>
      <c r="B316" s="4" t="n"/>
      <c r="C316" s="19" t="n"/>
      <c r="D316" s="4" t="n"/>
      <c r="E316" s="4" t="n"/>
      <c r="F316" s="19" t="n"/>
      <c r="G316" s="4" t="n"/>
      <c r="H316" s="4" t="n"/>
      <c r="I316" s="4" t="n"/>
      <c r="J316" s="19">
        <f>K316*1000</f>
        <v/>
      </c>
      <c r="K316" s="4" t="n"/>
      <c r="L316" s="4" t="n"/>
      <c r="M316" s="4" t="n"/>
      <c r="N316" s="4" t="n"/>
      <c r="O316" s="4" t="n"/>
      <c r="P316" s="4" t="n"/>
      <c r="Q316" s="19">
        <f>ROUND((L316*M316*N316)/1000000,3)</f>
        <v/>
      </c>
      <c r="R316" s="4" t="n"/>
      <c r="S316" s="4" t="n"/>
      <c r="T316" s="4" t="n"/>
      <c r="U316" s="4" t="n"/>
      <c r="V316" s="4" t="n"/>
      <c r="W316" s="4" t="n"/>
      <c r="X316" s="4">
        <f>AR316*(W316+35+10)</f>
        <v/>
      </c>
      <c r="Y316" s="4">
        <f>AR316*(W316+35+10+45)</f>
        <v/>
      </c>
      <c r="Z316" s="4">
        <f>AA316+AB316+AC316</f>
        <v/>
      </c>
      <c r="AA316" s="4" t="n"/>
      <c r="AB316" s="4" t="n"/>
      <c r="AC316" s="4" t="n"/>
      <c r="AD316" s="4">
        <f>AA316+AB316</f>
        <v/>
      </c>
      <c r="AE316" s="13">
        <f>IF(AD316&lt;=AT316,"库存不足",IF(AD316&gt;=AT316*1.5,"库存预警","库存正常"))</f>
        <v/>
      </c>
      <c r="AF316" s="4">
        <f>MAX(AT316-AA316-AB316,0)</f>
        <v/>
      </c>
      <c r="AG316" s="4">
        <f>MAX(X316-AD316,0)</f>
        <v/>
      </c>
      <c r="AH316" s="4">
        <f>AF316-AG316</f>
        <v/>
      </c>
      <c r="AI316" s="14">
        <f>AX316+(AA316+AB316)/AR316-60</f>
        <v/>
      </c>
      <c r="AJ316" s="4" t="n"/>
      <c r="AK316" s="15" t="n"/>
      <c r="AL316" s="15" t="n"/>
      <c r="AM316" s="15" t="n"/>
      <c r="AN316" s="15" t="n"/>
      <c r="AO316" s="4">
        <f>ROUND(AK316/7,0)</f>
        <v/>
      </c>
      <c r="AP316" s="4">
        <f>ROUND(AL316/15,0)</f>
        <v/>
      </c>
      <c r="AQ316" s="4">
        <f>ROUND(AM316/30,0)</f>
        <v/>
      </c>
      <c r="AR316" s="4" t="n"/>
      <c r="AS316" s="4" t="n"/>
      <c r="AT316" s="4">
        <f>AR316*(W316+7+30)</f>
        <v/>
      </c>
      <c r="AU316" s="4" t="n"/>
      <c r="AV316" s="4">
        <f>MAX(0,AT316-AD316-AC316)</f>
        <v/>
      </c>
      <c r="AW316" s="4" t="n"/>
      <c r="AX316" s="14">
        <f>TODAY()</f>
        <v/>
      </c>
      <c r="AY316" s="4" t="n"/>
      <c r="AZ316" s="4" t="n"/>
      <c r="BA316" s="16" t="n"/>
      <c r="BB316" s="16" t="n"/>
      <c r="BC316" s="16" t="n"/>
    </row>
    <row r="317" ht="14.25" customHeight="1" s="31">
      <c r="A317" s="4" t="n"/>
      <c r="B317" s="4" t="n"/>
      <c r="C317" s="4" t="n"/>
      <c r="D317" s="4" t="n"/>
      <c r="E317" s="4" t="n"/>
      <c r="F317" s="19" t="n"/>
      <c r="G317" s="4" t="n"/>
      <c r="H317" s="4" t="n"/>
      <c r="I317" s="4" t="n"/>
      <c r="J317" s="19">
        <f>K317*1000</f>
        <v/>
      </c>
      <c r="K317" s="4" t="n"/>
      <c r="L317" s="4" t="n"/>
      <c r="M317" s="4" t="n"/>
      <c r="N317" s="4" t="n"/>
      <c r="O317" s="4" t="n"/>
      <c r="P317" s="4" t="n"/>
      <c r="Q317" s="19">
        <f>ROUND((L317*M317*N317)/1000000,3)</f>
        <v/>
      </c>
      <c r="R317" s="4" t="n"/>
      <c r="S317" s="4" t="n"/>
      <c r="T317" s="4" t="n"/>
      <c r="U317" s="4" t="n"/>
      <c r="V317" s="4" t="n"/>
      <c r="W317" s="4" t="n"/>
      <c r="X317" s="4">
        <f>AR317*(W317+35+10)</f>
        <v/>
      </c>
      <c r="Y317" s="4">
        <f>AR317*(W317+35+10+45)</f>
        <v/>
      </c>
      <c r="Z317" s="4">
        <f>AA317+AB317+AC317</f>
        <v/>
      </c>
      <c r="AA317" s="4" t="n"/>
      <c r="AB317" s="4" t="n"/>
      <c r="AC317" s="4" t="n"/>
      <c r="AD317" s="4">
        <f>AA317+AB317</f>
        <v/>
      </c>
      <c r="AE317" s="13">
        <f>IF(AD317&lt;=AT317,"库存不足",IF(AD317&gt;=AT317*1.5,"库存预警","库存正常"))</f>
        <v/>
      </c>
      <c r="AF317" s="4">
        <f>MAX(AT317-AA317-AB317,0)</f>
        <v/>
      </c>
      <c r="AG317" s="4">
        <f>MAX(X317-AD317,0)</f>
        <v/>
      </c>
      <c r="AH317" s="4">
        <f>AF317-AG317</f>
        <v/>
      </c>
      <c r="AI317" s="14">
        <f>AX317+(AA317+AB317)/AR317-60</f>
        <v/>
      </c>
      <c r="AJ317" s="4" t="n"/>
      <c r="AK317" s="15" t="n"/>
      <c r="AL317" s="15" t="n"/>
      <c r="AM317" s="15" t="n"/>
      <c r="AN317" s="15" t="n"/>
      <c r="AO317" s="4">
        <f>ROUND(AK317/7,0)</f>
        <v/>
      </c>
      <c r="AP317" s="4">
        <f>ROUND(AL317/15,0)</f>
        <v/>
      </c>
      <c r="AQ317" s="4">
        <f>ROUND(AM317/30,0)</f>
        <v/>
      </c>
      <c r="AR317" s="4" t="n"/>
      <c r="AS317" s="4" t="n"/>
      <c r="AT317" s="4">
        <f>AR317*(W317+7+30)</f>
        <v/>
      </c>
      <c r="AU317" s="4" t="n"/>
      <c r="AV317" s="4">
        <f>MAX(0,AT317-AD317-AC317)</f>
        <v/>
      </c>
      <c r="AW317" s="4" t="n"/>
      <c r="AX317" s="14">
        <f>TODAY()</f>
        <v/>
      </c>
      <c r="AY317" s="4" t="n"/>
      <c r="AZ317" s="4" t="n"/>
      <c r="BA317" s="16" t="n"/>
      <c r="BB317" s="16" t="n"/>
      <c r="BC317" s="16" t="n"/>
    </row>
    <row r="318" ht="14.25" customHeight="1" s="31">
      <c r="A318" s="23" t="n"/>
      <c r="B318" s="23" t="n"/>
      <c r="C318" s="23" t="n"/>
      <c r="D318" s="23" t="n"/>
      <c r="E318" s="24" t="n"/>
      <c r="F318" s="23" t="n"/>
      <c r="G318" s="23" t="n"/>
      <c r="H318" s="23" t="n"/>
      <c r="I318" s="23" t="n"/>
      <c r="J318" s="24">
        <f>K318*1000</f>
        <v/>
      </c>
      <c r="K318" s="23" t="n"/>
      <c r="L318" s="23" t="n"/>
      <c r="M318" s="23" t="n"/>
      <c r="N318" s="23" t="n"/>
      <c r="O318" s="23" t="n"/>
      <c r="P318" s="23" t="n"/>
      <c r="Q318" s="25">
        <f>ROUND((L318*M318*N318)/1000000,3)</f>
        <v/>
      </c>
      <c r="R318" s="23" t="n"/>
      <c r="S318" s="16" t="n"/>
      <c r="T318" s="16" t="n"/>
      <c r="U318" s="16" t="n"/>
      <c r="V318" s="16" t="n"/>
      <c r="W318" s="4" t="n"/>
      <c r="X318" s="4">
        <f>AR318*(W318+35+10)</f>
        <v/>
      </c>
      <c r="Y318" s="4">
        <f>AR318*(W318+35+10+45)</f>
        <v/>
      </c>
      <c r="Z318" s="4">
        <f>AA318+AB318+AC318</f>
        <v/>
      </c>
      <c r="AA318" s="4" t="n"/>
      <c r="AB318" s="4" t="n"/>
      <c r="AC318" s="4" t="n"/>
      <c r="AD318" s="4">
        <f>AA318+AB318</f>
        <v/>
      </c>
      <c r="AE318" s="13">
        <f>IF(AD318&lt;=AT318,"库存不足",IF(AD318&gt;=AT318*1.5,"库存预警","库存正常"))</f>
        <v/>
      </c>
      <c r="AF318" s="4">
        <f>MAX(AT318-AA318-AB318,0)</f>
        <v/>
      </c>
      <c r="AG318" s="4">
        <f>MAX(X318-AD318,0)</f>
        <v/>
      </c>
      <c r="AH318" s="4">
        <f>AF318-AG318</f>
        <v/>
      </c>
      <c r="AI318" s="14">
        <f>AX318+(AA318+AB318)/AR318-60</f>
        <v/>
      </c>
      <c r="AJ318" s="16" t="n"/>
      <c r="AK318" s="15" t="n"/>
      <c r="AL318" s="15" t="n"/>
      <c r="AM318" s="15" t="n"/>
      <c r="AN318" s="15" t="n"/>
      <c r="AO318" s="4">
        <f>ROUND(AK318/7,0)</f>
        <v/>
      </c>
      <c r="AP318" s="4">
        <f>ROUND(AL318/15,0)</f>
        <v/>
      </c>
      <c r="AQ318" s="4">
        <f>ROUND(AM318/30,0)</f>
        <v/>
      </c>
      <c r="AR318" s="4" t="n"/>
      <c r="AS318" s="16" t="n"/>
      <c r="AT318" s="16" t="n"/>
      <c r="AU318" s="16" t="n"/>
      <c r="AV318" s="16" t="n"/>
      <c r="AW318" s="16" t="n"/>
      <c r="AX318" s="14">
        <f>TODAY()</f>
        <v/>
      </c>
      <c r="AY318" s="16" t="n"/>
      <c r="AZ318" s="16" t="n"/>
      <c r="BA318" s="16" t="n"/>
      <c r="BB318" s="16" t="n"/>
      <c r="BC318" s="16" t="n"/>
    </row>
    <row r="319" ht="14.25" customHeight="1" s="31">
      <c r="A319" s="23" t="n"/>
      <c r="B319" s="23" t="n"/>
      <c r="C319" s="23" t="n"/>
      <c r="D319" s="23" t="n"/>
      <c r="E319" s="23" t="n"/>
      <c r="F319" s="23" t="n"/>
      <c r="G319" s="23" t="n"/>
      <c r="H319" s="23" t="n"/>
      <c r="I319" s="23" t="n"/>
      <c r="J319" s="24">
        <f>K319*1000</f>
        <v/>
      </c>
      <c r="K319" s="23" t="n"/>
      <c r="L319" s="23" t="n"/>
      <c r="M319" s="23" t="n"/>
      <c r="N319" s="23" t="n"/>
      <c r="O319" s="23" t="n"/>
      <c r="P319" s="23" t="n"/>
      <c r="Q319" s="25">
        <f>ROUND((L319*M319*N319)/1000000,3)</f>
        <v/>
      </c>
      <c r="R319" s="23" t="n"/>
      <c r="S319" s="16" t="n"/>
      <c r="T319" s="16" t="n"/>
      <c r="U319" s="16" t="n"/>
      <c r="V319" s="16" t="n"/>
      <c r="W319" s="4" t="n"/>
      <c r="X319" s="16" t="n"/>
      <c r="Y319" s="16" t="n"/>
      <c r="Z319" s="16" t="n"/>
      <c r="AA319" s="4" t="n"/>
      <c r="AB319" s="4" t="n"/>
      <c r="AC319" s="4" t="n"/>
      <c r="AD319" s="4">
        <f>AA319+AB319</f>
        <v/>
      </c>
      <c r="AE319" s="13">
        <f>IF(AD319&lt;=AT319,"库存不足",IF(AD319&gt;=AT319*1.5,"库存预警","库存正常"))</f>
        <v/>
      </c>
      <c r="AF319" s="4">
        <f>MAX(AT319-AA319-AB319,0)</f>
        <v/>
      </c>
      <c r="AG319" s="4">
        <f>MAX(X319-AD319,0)</f>
        <v/>
      </c>
      <c r="AH319" s="4">
        <f>AF319-AG319</f>
        <v/>
      </c>
      <c r="AI319" s="14">
        <f>AX319+(AA319+AB319)/AR319-60</f>
        <v/>
      </c>
      <c r="AJ319" s="16" t="n"/>
      <c r="AK319" s="16" t="n"/>
      <c r="AL319" s="16" t="n"/>
      <c r="AM319" s="16" t="n"/>
      <c r="AN319" s="4">
        <f>ROUND(AJ319/3,0)</f>
        <v/>
      </c>
      <c r="AO319" s="4">
        <f>ROUND(AK319/7,0)</f>
        <v/>
      </c>
      <c r="AP319" s="4">
        <f>ROUND(AL319/15,0)</f>
        <v/>
      </c>
      <c r="AQ319" s="4">
        <f>ROUND(AM319/30,0)</f>
        <v/>
      </c>
      <c r="AR319" s="4" t="n"/>
      <c r="AS319" s="16" t="n"/>
      <c r="AT319" s="16" t="n"/>
      <c r="AU319" s="37" t="n"/>
      <c r="AV319" s="16" t="n"/>
      <c r="AW319" s="16" t="n"/>
      <c r="AX319" s="14">
        <f>TODAY()</f>
        <v/>
      </c>
      <c r="AY319" s="16" t="n"/>
      <c r="AZ319" s="16" t="n"/>
      <c r="BA319" s="16" t="n"/>
      <c r="BB319" s="16" t="n"/>
      <c r="BC319" s="16" t="n"/>
    </row>
    <row r="320" ht="14.25" customHeight="1" s="31">
      <c r="A320" s="23" t="n"/>
      <c r="B320" s="23" t="n"/>
      <c r="C320" s="27" t="n"/>
      <c r="D320" s="23" t="n"/>
      <c r="E320" s="23" t="n"/>
      <c r="F320" s="23" t="n"/>
      <c r="G320" s="23" t="n"/>
      <c r="H320" s="23" t="n"/>
      <c r="I320" s="23" t="n"/>
      <c r="J320" s="23" t="n"/>
      <c r="K320" s="23" t="n"/>
      <c r="L320" s="23" t="n"/>
      <c r="M320" s="23" t="n"/>
      <c r="N320" s="23" t="n"/>
      <c r="O320" s="23" t="n"/>
      <c r="P320" s="23" t="n"/>
      <c r="Q320" s="25">
        <f>ROUND((L320*M320*N320)/1000000,3)</f>
        <v/>
      </c>
      <c r="R320" s="23" t="n"/>
      <c r="S320" s="16" t="n"/>
      <c r="T320" s="16" t="n"/>
      <c r="U320" s="16" t="n"/>
      <c r="V320" s="16" t="n"/>
      <c r="W320" s="16" t="n"/>
      <c r="X320" s="4">
        <f>AR320*(W320+35+10)</f>
        <v/>
      </c>
      <c r="Y320" s="4">
        <f>AR320*(W320+35+10+45)</f>
        <v/>
      </c>
      <c r="Z320" s="4">
        <f>AA320+AB320+AC320</f>
        <v/>
      </c>
      <c r="AA320" s="4" t="n"/>
      <c r="AB320" s="4" t="n"/>
      <c r="AC320" s="4" t="n"/>
      <c r="AD320" s="4">
        <f>AA320+AB320</f>
        <v/>
      </c>
      <c r="AE320" s="13">
        <f>IF(AD320&lt;=AT320,"库存不足",IF(AD320&gt;=AT320*1.5,"库存预警","库存正常"))</f>
        <v/>
      </c>
      <c r="AF320" s="4">
        <f>MAX(AT320-AA320-AB320,0)</f>
        <v/>
      </c>
      <c r="AG320" s="4">
        <f>MAX(X320-AD320,0)</f>
        <v/>
      </c>
      <c r="AH320" s="4">
        <f>AF320-AG320</f>
        <v/>
      </c>
      <c r="AI320" s="14">
        <f>AX320+(AA320+AB320)/AR320-60</f>
        <v/>
      </c>
      <c r="AJ320" s="16" t="n"/>
      <c r="AK320" s="16" t="n"/>
      <c r="AL320" s="16" t="n"/>
      <c r="AM320" s="16" t="n"/>
      <c r="AN320" s="4">
        <f>ROUND(AJ320/3,0)</f>
        <v/>
      </c>
      <c r="AO320" s="4">
        <f>ROUND(AK320/7,0)</f>
        <v/>
      </c>
      <c r="AP320" s="4">
        <f>ROUND(AL320/15,0)</f>
        <v/>
      </c>
      <c r="AQ320" s="4">
        <f>ROUND(AM320/30,0)</f>
        <v/>
      </c>
      <c r="AR320" s="4" t="n"/>
      <c r="AS320" s="16" t="n"/>
      <c r="AT320" s="16" t="n"/>
      <c r="AU320" s="16" t="n"/>
      <c r="AV320" s="16" t="n"/>
      <c r="AW320" s="16" t="n"/>
      <c r="AX320" s="14">
        <f>TODAY()</f>
        <v/>
      </c>
      <c r="AY320" s="16" t="n"/>
      <c r="AZ320" s="16" t="n"/>
      <c r="BA320" s="16" t="n"/>
      <c r="BB320" s="16" t="n"/>
      <c r="BC320" s="16" t="n"/>
    </row>
    <row r="321" ht="14.25" customHeight="1" s="31">
      <c r="A321" s="23" t="n"/>
      <c r="B321" s="23" t="n"/>
      <c r="C321" s="27" t="n"/>
      <c r="D321" s="23" t="n"/>
      <c r="E321" s="23" t="n"/>
      <c r="F321" s="23" t="n"/>
      <c r="G321" s="23" t="n"/>
      <c r="H321" s="23" t="n"/>
      <c r="I321" s="23" t="n"/>
      <c r="J321" s="23" t="n"/>
      <c r="K321" s="23" t="n"/>
      <c r="L321" s="23" t="n"/>
      <c r="M321" s="23" t="n"/>
      <c r="N321" s="23" t="n"/>
      <c r="O321" s="23" t="n"/>
      <c r="P321" s="23" t="n"/>
      <c r="Q321" s="25">
        <f>ROUND((L321*M321*N321)/1000000,3)</f>
        <v/>
      </c>
      <c r="R321" s="23" t="n"/>
      <c r="S321" s="16" t="n"/>
      <c r="T321" s="16" t="n"/>
      <c r="U321" s="16" t="n"/>
      <c r="V321" s="16" t="n"/>
      <c r="W321" s="16" t="n"/>
      <c r="X321" s="4">
        <f>AR321*(W321+35+10)</f>
        <v/>
      </c>
      <c r="Y321" s="4">
        <f>AR321*(W321+35+10+45)</f>
        <v/>
      </c>
      <c r="Z321" s="4">
        <f>AA321+AB321+AC321</f>
        <v/>
      </c>
      <c r="AA321" s="4" t="n"/>
      <c r="AB321" s="4" t="n"/>
      <c r="AC321" s="4" t="n"/>
      <c r="AD321" s="4">
        <f>AA321+AB321</f>
        <v/>
      </c>
      <c r="AE321" s="13">
        <f>IF(AD321&lt;=AT321,"库存不足",IF(AD321&gt;=AT321*1.5,"库存预警","库存正常"))</f>
        <v/>
      </c>
      <c r="AF321" s="4">
        <f>MAX(AT321-AA321-AB321,0)</f>
        <v/>
      </c>
      <c r="AG321" s="4">
        <f>MAX(X321-AD321,0)</f>
        <v/>
      </c>
      <c r="AH321" s="4">
        <f>AF321-AG321</f>
        <v/>
      </c>
      <c r="AI321" s="14">
        <f>AX321+(AA321+AB321)/AR321-60</f>
        <v/>
      </c>
      <c r="AJ321" s="16" t="n"/>
      <c r="AK321" s="16" t="n"/>
      <c r="AL321" s="16" t="n"/>
      <c r="AM321" s="16" t="n"/>
      <c r="AN321" s="4">
        <f>ROUND(AJ321/3,0)</f>
        <v/>
      </c>
      <c r="AO321" s="4">
        <f>ROUND(AK321/7,0)</f>
        <v/>
      </c>
      <c r="AP321" s="4">
        <f>ROUND(AL321/15,0)</f>
        <v/>
      </c>
      <c r="AQ321" s="4">
        <f>ROUND(AM321/30,0)</f>
        <v/>
      </c>
      <c r="AR321" s="4" t="n"/>
      <c r="AS321" s="16" t="n"/>
      <c r="AT321" s="16" t="n"/>
      <c r="AU321" s="16" t="n"/>
      <c r="AV321" s="16" t="n"/>
      <c r="AW321" s="16" t="n"/>
      <c r="AX321" s="14">
        <f>TODAY()</f>
        <v/>
      </c>
      <c r="AY321" s="16" t="n"/>
      <c r="AZ321" s="16" t="n"/>
      <c r="BA321" s="16" t="n"/>
      <c r="BB321" s="16" t="n"/>
      <c r="BC321" s="16" t="n"/>
    </row>
    <row r="322">
      <c r="A322" s="23" t="n"/>
      <c r="B322" s="23" t="n"/>
      <c r="C322" s="23" t="n"/>
      <c r="D322" s="23" t="n"/>
      <c r="E322" s="23" t="n"/>
      <c r="F322" s="23" t="n"/>
      <c r="G322" s="23" t="n"/>
      <c r="H322" s="23" t="n"/>
      <c r="I322" s="23" t="n"/>
      <c r="J322" s="23" t="n"/>
      <c r="K322" s="23" t="n"/>
      <c r="L322" s="23" t="n"/>
      <c r="M322" s="23" t="n"/>
      <c r="N322" s="23" t="n"/>
      <c r="O322" s="23" t="n"/>
      <c r="P322" s="23" t="n"/>
      <c r="Q322" s="23">
        <f>ROUND((L322*M322*N322)/1000000,3)</f>
        <v/>
      </c>
      <c r="R322" s="23" t="n"/>
      <c r="S322" s="16" t="n"/>
      <c r="T322" s="16" t="n"/>
      <c r="U322" s="16" t="n"/>
      <c r="V322" s="16" t="n"/>
      <c r="W322" s="16" t="n"/>
      <c r="X322" s="4">
        <f>AR322*(W322+35+10)</f>
        <v/>
      </c>
      <c r="Y322" s="4">
        <f>AR322*(W322+35+10+45)</f>
        <v/>
      </c>
      <c r="Z322" s="4">
        <f>AA322+AB322+AC322</f>
        <v/>
      </c>
      <c r="AA322" s="4" t="n"/>
      <c r="AB322" s="4" t="n"/>
      <c r="AC322" s="4" t="n"/>
      <c r="AD322" s="4">
        <f>AA322+AB322</f>
        <v/>
      </c>
      <c r="AE322" s="13">
        <f>IF(AD322&lt;=AT322,"库存不足",IF(AD322&gt;=AT322*1.5,"库存预警","库存正常"))</f>
        <v/>
      </c>
      <c r="AF322" s="4">
        <f>MAX(AT322-AA322-AB322,0)</f>
        <v/>
      </c>
      <c r="AG322" s="4">
        <f>MAX(X322-AD322,0)</f>
        <v/>
      </c>
      <c r="AH322" s="4">
        <f>AF322-AG322</f>
        <v/>
      </c>
      <c r="AI322" s="14">
        <f>AX322+(AA322+AB322)/AR322-60</f>
        <v/>
      </c>
      <c r="AJ322" s="16" t="n"/>
      <c r="AK322" s="15" t="n"/>
      <c r="AL322" s="15" t="n"/>
      <c r="AM322" s="15" t="n"/>
      <c r="AN322" s="15" t="n"/>
      <c r="AO322" s="4">
        <f>ROUND(AK322/7,0)</f>
        <v/>
      </c>
      <c r="AP322" s="4">
        <f>ROUND(AL322/15,0)</f>
        <v/>
      </c>
      <c r="AQ322" s="4">
        <f>ROUND(AM322/30,0)</f>
        <v/>
      </c>
      <c r="AR322" s="4" t="n"/>
      <c r="AS322" s="16" t="n"/>
      <c r="AT322" s="16" t="n"/>
      <c r="AU322" s="16" t="n"/>
      <c r="AV322" s="16" t="n"/>
      <c r="AW322" s="16" t="n"/>
      <c r="AX322" s="14">
        <f>TODAY()</f>
        <v/>
      </c>
      <c r="AY322" s="16" t="n"/>
      <c r="AZ322" s="16" t="n"/>
      <c r="BA322" s="16" t="n"/>
      <c r="BB322" s="16" t="n"/>
      <c r="BC322" s="16" t="n"/>
    </row>
    <row r="323">
      <c r="A323" s="23" t="n"/>
      <c r="B323" s="23" t="n"/>
      <c r="C323" s="23" t="n"/>
      <c r="D323" s="23" t="n"/>
      <c r="E323" s="23" t="n"/>
      <c r="F323" s="23" t="n"/>
      <c r="G323" s="23" t="n"/>
      <c r="H323" s="23" t="n"/>
      <c r="I323" s="23" t="n"/>
      <c r="J323" s="23" t="n"/>
      <c r="K323" s="23" t="n"/>
      <c r="L323" s="23" t="n"/>
      <c r="M323" s="23" t="n"/>
      <c r="N323" s="23" t="n"/>
      <c r="O323" s="23" t="n"/>
      <c r="P323" s="23" t="n"/>
      <c r="Q323" s="23">
        <f>ROUND((L323*M323*N323)/1000000,3)</f>
        <v/>
      </c>
      <c r="R323" s="23" t="n"/>
      <c r="S323" s="16" t="n"/>
      <c r="T323" s="16" t="n"/>
      <c r="U323" s="16" t="n"/>
      <c r="V323" s="16" t="n"/>
      <c r="W323" s="16" t="n"/>
      <c r="X323" s="4">
        <f>AR323*(W323+35+10)</f>
        <v/>
      </c>
      <c r="Y323" s="4">
        <f>AR323*(W323+35+10+45)</f>
        <v/>
      </c>
      <c r="Z323" s="4">
        <f>AA323+AB323+AC323</f>
        <v/>
      </c>
      <c r="AA323" s="4" t="n"/>
      <c r="AB323" s="4" t="n"/>
      <c r="AC323" s="4" t="n"/>
      <c r="AD323" s="4">
        <f>AA323+AB323</f>
        <v/>
      </c>
      <c r="AE323" s="13">
        <f>IF(AD323&lt;=AT323,"库存不足",IF(AD323&gt;=AT323*1.5,"库存预警","库存正常"))</f>
        <v/>
      </c>
      <c r="AF323" s="4">
        <f>MAX(AT323-AA323-AB323,0)</f>
        <v/>
      </c>
      <c r="AG323" s="4">
        <f>MAX(X323-AD323,0)</f>
        <v/>
      </c>
      <c r="AH323" s="4">
        <f>AF323-AG323</f>
        <v/>
      </c>
      <c r="AI323" s="14">
        <f>AX323+(AA323+AB323)/AR323-60</f>
        <v/>
      </c>
      <c r="AJ323" s="16" t="n"/>
      <c r="AK323" s="15" t="n"/>
      <c r="AL323" s="15" t="n"/>
      <c r="AM323" s="15" t="n"/>
      <c r="AN323" s="15" t="n"/>
      <c r="AO323" s="4">
        <f>ROUND(AK323/7,0)</f>
        <v/>
      </c>
      <c r="AP323" s="4">
        <f>ROUND(AL323/15,0)</f>
        <v/>
      </c>
      <c r="AQ323" s="4">
        <f>ROUND(AM323/30,0)</f>
        <v/>
      </c>
      <c r="AR323" s="4" t="n"/>
      <c r="AS323" s="16" t="n"/>
      <c r="AT323" s="16" t="n"/>
      <c r="AU323" s="16" t="n"/>
      <c r="AV323" s="16" t="n"/>
      <c r="AW323" s="16" t="n"/>
      <c r="AX323" s="14">
        <f>TODAY()</f>
        <v/>
      </c>
      <c r="AY323" s="16" t="n"/>
      <c r="AZ323" s="16" t="n"/>
      <c r="BA323" s="16" t="n"/>
      <c r="BB323" s="16" t="n"/>
      <c r="BC323" s="16" t="n"/>
    </row>
    <row r="324">
      <c r="A324" s="23" t="n"/>
      <c r="B324" s="23" t="n"/>
      <c r="C324" s="23" t="n"/>
      <c r="D324" s="23" t="n"/>
      <c r="E324" s="23" t="n"/>
      <c r="F324" s="23" t="n"/>
      <c r="G324" s="23" t="n"/>
      <c r="H324" s="23" t="n"/>
      <c r="I324" s="23" t="n"/>
      <c r="J324" s="23" t="n"/>
      <c r="K324" s="23" t="n"/>
      <c r="L324" s="23" t="n"/>
      <c r="M324" s="23" t="n"/>
      <c r="N324" s="23" t="n"/>
      <c r="O324" s="23" t="n"/>
      <c r="P324" s="23" t="n"/>
      <c r="Q324" s="23">
        <f>ROUND((L324*M324*N324)/1000000,3)</f>
        <v/>
      </c>
      <c r="R324" s="23" t="n"/>
      <c r="S324" s="16" t="n"/>
      <c r="T324" s="16" t="n"/>
      <c r="U324" s="16" t="n"/>
      <c r="V324" s="16" t="n"/>
      <c r="W324" s="16" t="n"/>
      <c r="X324" s="4">
        <f>AR324*(W324+35+10)</f>
        <v/>
      </c>
      <c r="Y324" s="4">
        <f>AR324*(W324+35+10+45)</f>
        <v/>
      </c>
      <c r="Z324" s="4">
        <f>AA324+AB324+AC324</f>
        <v/>
      </c>
      <c r="AA324" s="4" t="n"/>
      <c r="AB324" s="4" t="n"/>
      <c r="AC324" s="4" t="n"/>
      <c r="AD324" s="4">
        <f>AA324+AB324</f>
        <v/>
      </c>
      <c r="AE324" s="13">
        <f>IF(AD324&lt;=AT324,"库存不足",IF(AD324&gt;=AT324*1.5,"库存预警","库存正常"))</f>
        <v/>
      </c>
      <c r="AF324" s="4">
        <f>MAX(AT324-AA324-AB324,0)</f>
        <v/>
      </c>
      <c r="AG324" s="4">
        <f>MAX(X324-AD324,0)</f>
        <v/>
      </c>
      <c r="AH324" s="4">
        <f>AF324-AG324</f>
        <v/>
      </c>
      <c r="AI324" s="14">
        <f>AX324+(AA324+AB324)/AR324-60</f>
        <v/>
      </c>
      <c r="AJ324" s="16" t="n"/>
      <c r="AK324" s="16" t="n"/>
      <c r="AL324" s="16" t="n"/>
      <c r="AM324" s="16" t="n"/>
      <c r="AN324" s="15" t="n"/>
      <c r="AO324" s="4">
        <f>ROUND(AK324/7,0)</f>
        <v/>
      </c>
      <c r="AP324" s="4">
        <f>ROUND(AL324/15,0)</f>
        <v/>
      </c>
      <c r="AQ324" s="4">
        <f>ROUND(AM324/30,0)</f>
        <v/>
      </c>
      <c r="AR324" s="4" t="n"/>
      <c r="AS324" s="16" t="n"/>
      <c r="AT324" s="16" t="n"/>
      <c r="AU324" s="16" t="n"/>
      <c r="AV324" s="16" t="n"/>
      <c r="AW324" s="16" t="n"/>
      <c r="AX324" s="14">
        <f>TODAY()</f>
        <v/>
      </c>
      <c r="AY324" s="16" t="n"/>
      <c r="AZ324" s="16" t="n"/>
      <c r="BA324" s="16" t="n"/>
      <c r="BB324" s="16" t="n"/>
      <c r="BC324" s="16" t="n"/>
    </row>
    <row r="325">
      <c r="A325" s="23" t="n"/>
      <c r="B325" s="23" t="n"/>
      <c r="C325" s="23" t="n"/>
      <c r="D325" s="23" t="n"/>
      <c r="E325" s="23" t="n"/>
      <c r="F325" s="23" t="n"/>
      <c r="G325" s="23" t="n"/>
      <c r="H325" s="23" t="n"/>
      <c r="I325" s="23" t="n"/>
      <c r="J325" s="23" t="n"/>
      <c r="K325" s="23" t="n"/>
      <c r="L325" s="23" t="n"/>
      <c r="M325" s="23" t="n"/>
      <c r="N325" s="23" t="n"/>
      <c r="O325" s="23" t="n"/>
      <c r="P325" s="23" t="n"/>
      <c r="Q325" s="23">
        <f>ROUND((L325*M325*N325)/1000000,3)</f>
        <v/>
      </c>
      <c r="R325" s="23" t="n"/>
      <c r="S325" s="16" t="n"/>
      <c r="T325" s="16" t="n"/>
      <c r="U325" s="16" t="n"/>
      <c r="V325" s="16" t="n"/>
      <c r="W325" s="16" t="n"/>
      <c r="X325" s="4">
        <f>AR325*(W325+35+10)</f>
        <v/>
      </c>
      <c r="Y325" s="4">
        <f>AR325*(W325+35+10+45)</f>
        <v/>
      </c>
      <c r="Z325" s="4">
        <f>AA325+AB325+AC325</f>
        <v/>
      </c>
      <c r="AA325" s="4" t="n"/>
      <c r="AB325" s="4" t="n"/>
      <c r="AC325" s="4" t="n"/>
      <c r="AD325" s="4">
        <f>AA325+AB325</f>
        <v/>
      </c>
      <c r="AE325" s="13">
        <f>IF(AD325&lt;=AT325,"库存不足",IF(AD325&gt;=AT325*1.5,"库存预警","库存正常"))</f>
        <v/>
      </c>
      <c r="AF325" s="4">
        <f>MAX(AT325-AA325-AB325,0)</f>
        <v/>
      </c>
      <c r="AG325" s="4">
        <f>MAX(X325-AD325,0)</f>
        <v/>
      </c>
      <c r="AH325" s="4">
        <f>AF325-AG325</f>
        <v/>
      </c>
      <c r="AI325" s="14">
        <f>AX325+(AA325+AB325)/AR325-60</f>
        <v/>
      </c>
      <c r="AJ325" s="16" t="n"/>
      <c r="AK325" s="16" t="n"/>
      <c r="AL325" s="16" t="n"/>
      <c r="AM325" s="16" t="n"/>
      <c r="AN325" s="15" t="n"/>
      <c r="AO325" s="4">
        <f>ROUND(AK325/7,0)</f>
        <v/>
      </c>
      <c r="AP325" s="4">
        <f>ROUND(AL325/15,0)</f>
        <v/>
      </c>
      <c r="AQ325" s="4">
        <f>ROUND(AM325/30,0)</f>
        <v/>
      </c>
      <c r="AR325" s="4" t="n"/>
      <c r="AS325" s="16" t="n"/>
      <c r="AT325" s="16" t="n"/>
      <c r="AU325" s="16" t="n"/>
      <c r="AV325" s="16" t="n"/>
      <c r="AW325" s="16" t="n"/>
      <c r="AX325" s="14">
        <f>TODAY()</f>
        <v/>
      </c>
      <c r="AY325" s="16" t="n"/>
      <c r="AZ325" s="16" t="n"/>
      <c r="BA325" s="16" t="n"/>
      <c r="BB325" s="16" t="n"/>
      <c r="BC325" s="16" t="n"/>
    </row>
    <row r="326">
      <c r="A326" s="23" t="n"/>
      <c r="B326" s="23" t="n"/>
      <c r="C326" s="23" t="n"/>
      <c r="D326" s="23" t="n"/>
      <c r="E326" s="23" t="n"/>
      <c r="F326" s="23" t="n"/>
      <c r="G326" s="23" t="n"/>
      <c r="H326" s="23" t="n"/>
      <c r="I326" s="23" t="n"/>
      <c r="J326" s="23" t="n"/>
      <c r="K326" s="23" t="n"/>
      <c r="L326" s="23" t="n"/>
      <c r="M326" s="23" t="n"/>
      <c r="N326" s="23" t="n"/>
      <c r="O326" s="23" t="n"/>
      <c r="P326" s="23" t="n"/>
      <c r="Q326" s="23">
        <f>ROUND((L326*M326*N326)/1000000,3)</f>
        <v/>
      </c>
      <c r="R326" s="23" t="n"/>
      <c r="S326" s="16" t="n"/>
      <c r="T326" s="16" t="n"/>
      <c r="U326" s="16" t="n"/>
      <c r="V326" s="16" t="n"/>
      <c r="W326" s="16" t="n"/>
      <c r="X326" s="4">
        <f>AR326*(W326+35+10)</f>
        <v/>
      </c>
      <c r="Y326" s="4">
        <f>AR326*(W326+35+10+45)</f>
        <v/>
      </c>
      <c r="Z326" s="4">
        <f>AA326+AB326+AC326</f>
        <v/>
      </c>
      <c r="AA326" s="4" t="n"/>
      <c r="AB326" s="4" t="n"/>
      <c r="AC326" s="4" t="n"/>
      <c r="AD326" s="4">
        <f>AA326+AB326</f>
        <v/>
      </c>
      <c r="AE326" s="13">
        <f>IF(AD326&lt;=AT326,"库存不足",IF(AD326&gt;=AT326*1.5,"库存预警","库存正常"))</f>
        <v/>
      </c>
      <c r="AF326" s="4">
        <f>MAX(AT326-AA326-AB326,0)</f>
        <v/>
      </c>
      <c r="AG326" s="4">
        <f>MAX(X326-AD326,0)</f>
        <v/>
      </c>
      <c r="AH326" s="4">
        <f>AF326-AG326</f>
        <v/>
      </c>
      <c r="AI326" s="14">
        <f>AX326+(AA326+AB326)/AR326-60</f>
        <v/>
      </c>
      <c r="AJ326" s="16" t="n"/>
      <c r="AK326" s="16" t="n"/>
      <c r="AL326" s="16" t="n"/>
      <c r="AM326" s="16" t="n"/>
      <c r="AN326" s="15" t="n"/>
      <c r="AO326" s="4">
        <f>ROUND(AK326/7,0)</f>
        <v/>
      </c>
      <c r="AP326" s="4">
        <f>ROUND(AL326/15,0)</f>
        <v/>
      </c>
      <c r="AQ326" s="4">
        <f>ROUND(AM326/30,0)</f>
        <v/>
      </c>
      <c r="AR326" s="4" t="n"/>
      <c r="AS326" s="16" t="n"/>
      <c r="AT326" s="16" t="n"/>
      <c r="AU326" s="16" t="n"/>
      <c r="AV326" s="16" t="n"/>
      <c r="AW326" s="16" t="n"/>
      <c r="AX326" s="14">
        <f>TODAY()</f>
        <v/>
      </c>
      <c r="AY326" s="16" t="n"/>
      <c r="AZ326" s="16" t="n"/>
      <c r="BA326" s="16" t="n"/>
      <c r="BB326" s="16" t="n"/>
      <c r="BC326" s="16" t="n"/>
    </row>
    <row r="327">
      <c r="A327" s="23" t="n"/>
      <c r="B327" s="23" t="n"/>
      <c r="C327" s="23" t="n"/>
      <c r="D327" s="23" t="n"/>
      <c r="E327" s="23" t="n"/>
      <c r="F327" s="23" t="n"/>
      <c r="G327" s="23" t="n"/>
      <c r="H327" s="23" t="n"/>
      <c r="I327" s="23" t="n"/>
      <c r="J327" s="23" t="n"/>
      <c r="K327" s="23" t="n"/>
      <c r="L327" s="23" t="n"/>
      <c r="M327" s="23" t="n"/>
      <c r="N327" s="23" t="n"/>
      <c r="O327" s="23" t="n"/>
      <c r="P327" s="23" t="n"/>
      <c r="Q327" s="23">
        <f>ROUND((L327*M327*N327)/1000000,3)</f>
        <v/>
      </c>
      <c r="R327" s="23" t="n"/>
      <c r="S327" s="16" t="n"/>
      <c r="T327" s="16" t="n"/>
      <c r="U327" s="16" t="n"/>
      <c r="V327" s="16" t="n"/>
      <c r="W327" s="16" t="n"/>
      <c r="X327" s="4">
        <f>AR327*(W327+35+10)</f>
        <v/>
      </c>
      <c r="Y327" s="4">
        <f>AR327*(W327+35+10+45)</f>
        <v/>
      </c>
      <c r="Z327" s="4">
        <f>AA327+AB327+AC327</f>
        <v/>
      </c>
      <c r="AA327" s="4" t="n"/>
      <c r="AB327" s="4" t="n"/>
      <c r="AC327" s="4" t="n"/>
      <c r="AD327" s="4">
        <f>AA327+AB327</f>
        <v/>
      </c>
      <c r="AE327" s="13">
        <f>IF(AD327&lt;=AT327,"库存不足",IF(AD327&gt;=AT327*1.5,"库存预警","库存正常"))</f>
        <v/>
      </c>
      <c r="AF327" s="4">
        <f>MAX(AT327-AA327-AB327,0)</f>
        <v/>
      </c>
      <c r="AG327" s="4">
        <f>MAX(X327-AD327,0)</f>
        <v/>
      </c>
      <c r="AH327" s="4">
        <f>AF327-AG327</f>
        <v/>
      </c>
      <c r="AI327" s="14">
        <f>AX327+(AA327+AB327)/AR327-60</f>
        <v/>
      </c>
      <c r="AJ327" s="16" t="n"/>
      <c r="AK327" s="16" t="n"/>
      <c r="AL327" s="16" t="n"/>
      <c r="AM327" s="16" t="n"/>
      <c r="AN327" s="15" t="n"/>
      <c r="AO327" s="4">
        <f>ROUND(AK327/7,0)</f>
        <v/>
      </c>
      <c r="AP327" s="4">
        <f>ROUND(AL327/15,0)</f>
        <v/>
      </c>
      <c r="AQ327" s="4">
        <f>ROUND(AM327/30,0)</f>
        <v/>
      </c>
      <c r="AR327" s="4" t="n"/>
      <c r="AS327" s="16" t="n"/>
      <c r="AT327" s="16" t="n"/>
      <c r="AU327" s="16" t="n"/>
      <c r="AV327" s="16" t="n"/>
      <c r="AW327" s="16" t="n"/>
      <c r="AX327" s="14">
        <f>TODAY()</f>
        <v/>
      </c>
      <c r="AY327" s="16" t="n"/>
      <c r="AZ327" s="16" t="n"/>
      <c r="BA327" s="16" t="n"/>
      <c r="BB327" s="16" t="n"/>
      <c r="BC327" s="16" t="n"/>
    </row>
    <row r="328">
      <c r="A328" s="23" t="n"/>
      <c r="B328" s="23" t="n"/>
      <c r="C328" s="23" t="n"/>
      <c r="D328" s="23" t="n"/>
      <c r="E328" s="23" t="n"/>
      <c r="F328" s="23" t="n"/>
      <c r="G328" s="23" t="n"/>
      <c r="H328" s="23" t="n"/>
      <c r="I328" s="23" t="n"/>
      <c r="J328" s="23" t="n"/>
      <c r="K328" s="23" t="n"/>
      <c r="L328" s="23" t="n"/>
      <c r="M328" s="23" t="n"/>
      <c r="N328" s="23" t="n"/>
      <c r="O328" s="23" t="n"/>
      <c r="P328" s="23" t="n"/>
      <c r="Q328" s="23">
        <f>ROUND((L328*M328*N328)/1000000,3)</f>
        <v/>
      </c>
      <c r="R328" s="23" t="n"/>
      <c r="S328" s="16" t="n"/>
      <c r="T328" s="16" t="n"/>
      <c r="U328" s="16" t="n"/>
      <c r="V328" s="16" t="n"/>
      <c r="W328" s="16" t="n"/>
      <c r="X328" s="4">
        <f>AR328*(W328+35+10)</f>
        <v/>
      </c>
      <c r="Y328" s="4">
        <f>AR328*(W328+35+10+45)</f>
        <v/>
      </c>
      <c r="Z328" s="4">
        <f>AA328+AB328+AC328</f>
        <v/>
      </c>
      <c r="AA328" s="4" t="n"/>
      <c r="AB328" s="4" t="n"/>
      <c r="AC328" s="4" t="n"/>
      <c r="AD328" s="4">
        <f>AA328+AB328</f>
        <v/>
      </c>
      <c r="AE328" s="13">
        <f>IF(AD328&lt;=AT328,"库存不足",IF(AD328&gt;=AT328*1.5,"库存预警","库存正常"))</f>
        <v/>
      </c>
      <c r="AF328" s="4">
        <f>MAX(AT328-AA328-AB328,0)</f>
        <v/>
      </c>
      <c r="AG328" s="4">
        <f>MAX(X328-AD328,0)</f>
        <v/>
      </c>
      <c r="AH328" s="4">
        <f>AF328-AG328</f>
        <v/>
      </c>
      <c r="AI328" s="14">
        <f>AX328+(AA328+AB328)/AR328-60</f>
        <v/>
      </c>
      <c r="AJ328" s="16" t="n"/>
      <c r="AK328" s="16" t="n"/>
      <c r="AL328" s="16" t="n"/>
      <c r="AM328" s="16" t="n"/>
      <c r="AN328" s="15" t="n"/>
      <c r="AO328" s="4">
        <f>ROUND(AK328/7,0)</f>
        <v/>
      </c>
      <c r="AP328" s="4">
        <f>ROUND(AL328/15,0)</f>
        <v/>
      </c>
      <c r="AQ328" s="4">
        <f>ROUND(AM328/30,0)</f>
        <v/>
      </c>
      <c r="AR328" s="4" t="n"/>
      <c r="AS328" s="16" t="n"/>
      <c r="AT328" s="16" t="n"/>
      <c r="AU328" s="16" t="n"/>
      <c r="AV328" s="16" t="n"/>
      <c r="AW328" s="16" t="n"/>
      <c r="AX328" s="14">
        <f>TODAY()</f>
        <v/>
      </c>
      <c r="AY328" s="16" t="n"/>
      <c r="AZ328" s="16" t="n"/>
      <c r="BA328" s="16" t="n"/>
      <c r="BB328" s="16" t="n"/>
      <c r="BC328" s="16" t="n"/>
    </row>
    <row r="329">
      <c r="A329" s="23" t="n"/>
      <c r="B329" s="23" t="n"/>
      <c r="C329" s="23" t="n"/>
      <c r="D329" s="23" t="n"/>
      <c r="E329" s="23" t="n"/>
      <c r="F329" s="23" t="n"/>
      <c r="G329" s="23" t="n"/>
      <c r="H329" s="23" t="n"/>
      <c r="I329" s="23" t="n"/>
      <c r="J329" s="23" t="n"/>
      <c r="K329" s="23" t="n"/>
      <c r="L329" s="23" t="n"/>
      <c r="M329" s="23" t="n"/>
      <c r="N329" s="23" t="n"/>
      <c r="O329" s="23" t="n"/>
      <c r="P329" s="23" t="n"/>
      <c r="Q329" s="23">
        <f>ROUND((L329*M329*N329)/1000000,3)</f>
        <v/>
      </c>
      <c r="R329" s="23" t="n"/>
      <c r="S329" s="16" t="n"/>
      <c r="T329" s="16" t="n"/>
      <c r="U329" s="16" t="n"/>
      <c r="V329" s="16" t="n"/>
      <c r="W329" s="16" t="n"/>
      <c r="X329" s="4">
        <f>AR329*(W329+35+10)</f>
        <v/>
      </c>
      <c r="Y329" s="4">
        <f>AR329*(W329+35+10+45)</f>
        <v/>
      </c>
      <c r="Z329" s="4">
        <f>AA329+AB329+AC329</f>
        <v/>
      </c>
      <c r="AA329" s="4" t="n"/>
      <c r="AB329" s="4" t="n"/>
      <c r="AC329" s="4" t="n"/>
      <c r="AD329" s="4">
        <f>AA329+AB329</f>
        <v/>
      </c>
      <c r="AE329" s="13">
        <f>IF(AD329&lt;=AT329,"库存不足",IF(AD329&gt;=AT329*1.5,"库存预警","库存正常"))</f>
        <v/>
      </c>
      <c r="AF329" s="4">
        <f>MAX(AT329-AA329-AB329,0)</f>
        <v/>
      </c>
      <c r="AG329" s="4">
        <f>MAX(X329-AD329,0)</f>
        <v/>
      </c>
      <c r="AH329" s="4">
        <f>AF329-AG329</f>
        <v/>
      </c>
      <c r="AI329" s="14">
        <f>AX329+(AA329+AB329)/AR329-60</f>
        <v/>
      </c>
      <c r="AJ329" s="16" t="n"/>
      <c r="AK329" s="16" t="n"/>
      <c r="AL329" s="16" t="n"/>
      <c r="AM329" s="16" t="n"/>
      <c r="AN329" s="15" t="n"/>
      <c r="AO329" s="4">
        <f>ROUND(AK329/7,0)</f>
        <v/>
      </c>
      <c r="AP329" s="4">
        <f>ROUND(AL329/15,0)</f>
        <v/>
      </c>
      <c r="AQ329" s="4">
        <f>ROUND(AM329/30,0)</f>
        <v/>
      </c>
      <c r="AR329" s="4" t="n"/>
      <c r="AS329" s="16" t="n"/>
      <c r="AT329" s="16" t="n"/>
      <c r="AU329" s="16" t="n"/>
      <c r="AV329" s="16" t="n"/>
      <c r="AW329" s="16" t="n"/>
      <c r="AX329" s="14">
        <f>TODAY()</f>
        <v/>
      </c>
      <c r="AY329" s="16" t="n"/>
      <c r="AZ329" s="16" t="n"/>
      <c r="BA329" s="16" t="n"/>
      <c r="BB329" s="16" t="n"/>
      <c r="BC329" s="16" t="n"/>
    </row>
    <row r="330">
      <c r="A330" s="23" t="n"/>
      <c r="B330" s="23" t="n"/>
      <c r="C330" s="23" t="n"/>
      <c r="D330" s="23" t="n"/>
      <c r="E330" s="23" t="n"/>
      <c r="F330" s="23" t="n"/>
      <c r="G330" s="23" t="n"/>
      <c r="H330" s="23" t="n"/>
      <c r="I330" s="23" t="n"/>
      <c r="J330" s="23" t="n"/>
      <c r="K330" s="23" t="n"/>
      <c r="L330" s="23" t="n"/>
      <c r="M330" s="23" t="n"/>
      <c r="N330" s="23" t="n"/>
      <c r="O330" s="23" t="n"/>
      <c r="P330" s="23" t="n"/>
      <c r="Q330" s="23">
        <f>ROUND((L330*M330*N330)/1000000,3)</f>
        <v/>
      </c>
      <c r="R330" s="23" t="n"/>
      <c r="S330" s="16" t="n"/>
      <c r="T330" s="16" t="n"/>
      <c r="U330" s="16" t="n"/>
      <c r="V330" s="16" t="n"/>
      <c r="W330" s="16" t="n"/>
      <c r="X330" s="4">
        <f>AR330*(W330+35+10)</f>
        <v/>
      </c>
      <c r="Y330" s="4">
        <f>AR330*(W330+35+10+45)</f>
        <v/>
      </c>
      <c r="Z330" s="4">
        <f>AA330+AB330+AC330</f>
        <v/>
      </c>
      <c r="AA330" s="4" t="n"/>
      <c r="AB330" s="4" t="n"/>
      <c r="AC330" s="4" t="n"/>
      <c r="AD330" s="4">
        <f>AA330+AB330</f>
        <v/>
      </c>
      <c r="AE330" s="13">
        <f>IF(AD330&lt;=AT330,"库存不足",IF(AD330&gt;=AT330*1.5,"库存预警","库存正常"))</f>
        <v/>
      </c>
      <c r="AF330" s="4">
        <f>MAX(AT330-AA330-AB330,0)</f>
        <v/>
      </c>
      <c r="AG330" s="4">
        <f>MAX(X330-AD330,0)</f>
        <v/>
      </c>
      <c r="AH330" s="4">
        <f>AF330-AG330</f>
        <v/>
      </c>
      <c r="AI330" s="14">
        <f>AX330+(AA330+AB330)/AR330-60</f>
        <v/>
      </c>
      <c r="AJ330" s="16" t="n"/>
      <c r="AK330" s="16" t="n"/>
      <c r="AL330" s="16" t="n"/>
      <c r="AM330" s="16" t="n"/>
      <c r="AN330" s="15" t="n"/>
      <c r="AO330" s="4">
        <f>ROUND(AK330/7,0)</f>
        <v/>
      </c>
      <c r="AP330" s="4">
        <f>ROUND(AL330/15,0)</f>
        <v/>
      </c>
      <c r="AQ330" s="4">
        <f>ROUND(AM330/30,0)</f>
        <v/>
      </c>
      <c r="AR330" s="4" t="n"/>
      <c r="AS330" s="16" t="n"/>
      <c r="AT330" s="16" t="n"/>
      <c r="AU330" s="16" t="n"/>
      <c r="AV330" s="16" t="n"/>
      <c r="AW330" s="16" t="n"/>
      <c r="AX330" s="14">
        <f>TODAY()</f>
        <v/>
      </c>
      <c r="AY330" s="16" t="n"/>
      <c r="AZ330" s="16" t="n"/>
      <c r="BA330" s="16" t="n"/>
      <c r="BB330" s="16" t="n"/>
      <c r="BC330" s="16" t="n"/>
    </row>
    <row r="331">
      <c r="A331" s="23" t="n"/>
      <c r="B331" s="23" t="n"/>
      <c r="C331" s="23" t="n"/>
      <c r="D331" s="23" t="n"/>
      <c r="E331" s="23" t="n"/>
      <c r="F331" s="23" t="n"/>
      <c r="G331" s="23" t="n"/>
      <c r="H331" s="23" t="n"/>
      <c r="I331" s="23" t="n"/>
      <c r="J331" s="23" t="n"/>
      <c r="K331" s="23" t="n"/>
      <c r="L331" s="23" t="n"/>
      <c r="M331" s="23" t="n"/>
      <c r="N331" s="23" t="n"/>
      <c r="O331" s="23" t="n"/>
      <c r="P331" s="23" t="n"/>
      <c r="Q331" s="23">
        <f>ROUND((L331*M331*N331)/1000000,3)</f>
        <v/>
      </c>
      <c r="R331" s="23" t="n"/>
      <c r="S331" s="16" t="n"/>
      <c r="T331" s="16" t="n"/>
      <c r="U331" s="16" t="n"/>
      <c r="V331" s="16" t="n"/>
      <c r="W331" s="16" t="n"/>
      <c r="X331" s="4">
        <f>AR331*(W331+35+10)</f>
        <v/>
      </c>
      <c r="Y331" s="4">
        <f>AR331*(W331+35+10+45)</f>
        <v/>
      </c>
      <c r="Z331" s="4">
        <f>AA331+AB331+AC331</f>
        <v/>
      </c>
      <c r="AA331" s="4" t="n"/>
      <c r="AB331" s="4" t="n"/>
      <c r="AC331" s="4" t="n"/>
      <c r="AD331" s="4">
        <f>AA331+AB331</f>
        <v/>
      </c>
      <c r="AE331" s="13">
        <f>IF(AD331&lt;=AT331,"库存不足",IF(AD331&gt;=AT331*1.5,"库存预警","库存正常"))</f>
        <v/>
      </c>
      <c r="AF331" s="4">
        <f>MAX(AT331-AA331-AB331,0)</f>
        <v/>
      </c>
      <c r="AG331" s="4">
        <f>MAX(X331-AD331,0)</f>
        <v/>
      </c>
      <c r="AH331" s="4">
        <f>AF331-AG331</f>
        <v/>
      </c>
      <c r="AI331" s="14">
        <f>AX331+(AA331+AB331)/AR331-60</f>
        <v/>
      </c>
      <c r="AJ331" s="16" t="n"/>
      <c r="AK331" s="16" t="n"/>
      <c r="AL331" s="16" t="n"/>
      <c r="AM331" s="16" t="n"/>
      <c r="AN331" s="15" t="n"/>
      <c r="AO331" s="4">
        <f>ROUND(AK331/7,0)</f>
        <v/>
      </c>
      <c r="AP331" s="4">
        <f>ROUND(AL331/15,0)</f>
        <v/>
      </c>
      <c r="AQ331" s="4">
        <f>ROUND(AM331/30,0)</f>
        <v/>
      </c>
      <c r="AR331" s="4" t="n"/>
      <c r="AS331" s="16" t="n"/>
      <c r="AT331" s="16" t="n"/>
      <c r="AU331" s="16" t="n"/>
      <c r="AV331" s="16" t="n"/>
      <c r="AW331" s="16" t="n"/>
      <c r="AX331" s="14">
        <f>TODAY()</f>
        <v/>
      </c>
      <c r="AY331" s="16" t="n"/>
      <c r="AZ331" s="16" t="n"/>
      <c r="BA331" s="16" t="n"/>
      <c r="BB331" s="16" t="n"/>
      <c r="BC331" s="16" t="n"/>
    </row>
    <row r="332">
      <c r="A332" s="23" t="n"/>
      <c r="B332" s="23" t="n"/>
      <c r="C332" s="23" t="n"/>
      <c r="D332" s="23" t="n"/>
      <c r="E332" s="23" t="n"/>
      <c r="F332" s="23" t="n"/>
      <c r="G332" s="23" t="n"/>
      <c r="H332" s="23" t="n"/>
      <c r="I332" s="23" t="n"/>
      <c r="J332" s="23" t="n"/>
      <c r="K332" s="23" t="n"/>
      <c r="L332" s="23" t="n"/>
      <c r="M332" s="23" t="n"/>
      <c r="N332" s="23" t="n"/>
      <c r="O332" s="23" t="n"/>
      <c r="P332" s="23" t="n"/>
      <c r="Q332" s="23">
        <f>ROUND((L332*M332*N332)/1000000,3)</f>
        <v/>
      </c>
      <c r="R332" s="23" t="n"/>
      <c r="S332" s="16" t="n"/>
      <c r="T332" s="16" t="n"/>
      <c r="U332" s="16" t="n"/>
      <c r="V332" s="16" t="n"/>
      <c r="W332" s="16" t="n"/>
      <c r="X332" s="4">
        <f>AR332*(W332+35+10)</f>
        <v/>
      </c>
      <c r="Y332" s="4">
        <f>AR332*(W332+35+10+45)</f>
        <v/>
      </c>
      <c r="Z332" s="4">
        <f>AA332+AB332+AC332</f>
        <v/>
      </c>
      <c r="AA332" s="4" t="n"/>
      <c r="AB332" s="4" t="n"/>
      <c r="AC332" s="4" t="n"/>
      <c r="AD332" s="4">
        <f>AA332+AB332</f>
        <v/>
      </c>
      <c r="AE332" s="13">
        <f>IF(AD332&lt;=AT332,"库存不足",IF(AD332&gt;=AT332*1.5,"库存预警","库存正常"))</f>
        <v/>
      </c>
      <c r="AF332" s="4">
        <f>MAX(AT332-AA332-AB332,0)</f>
        <v/>
      </c>
      <c r="AG332" s="4">
        <f>MAX(X332-AD332,0)</f>
        <v/>
      </c>
      <c r="AH332" s="4">
        <f>AF332-AG332</f>
        <v/>
      </c>
      <c r="AI332" s="14">
        <f>AX332+(AA332+AB332)/AR332-60</f>
        <v/>
      </c>
      <c r="AJ332" s="16" t="n"/>
      <c r="AK332" s="16" t="n"/>
      <c r="AL332" s="16" t="n"/>
      <c r="AM332" s="16" t="n"/>
      <c r="AN332" s="15" t="n"/>
      <c r="AO332" s="4">
        <f>ROUND(AK332/7,0)</f>
        <v/>
      </c>
      <c r="AP332" s="4">
        <f>ROUND(AL332/15,0)</f>
        <v/>
      </c>
      <c r="AQ332" s="4">
        <f>ROUND(AM332/30,0)</f>
        <v/>
      </c>
      <c r="AR332" s="4" t="n"/>
      <c r="AS332" s="16" t="n"/>
      <c r="AT332" s="16" t="n"/>
      <c r="AU332" s="16" t="n"/>
      <c r="AV332" s="16" t="n"/>
      <c r="AW332" s="16" t="n"/>
      <c r="AX332" s="14">
        <f>TODAY()</f>
        <v/>
      </c>
      <c r="AY332" s="16" t="n"/>
      <c r="AZ332" s="16" t="n"/>
      <c r="BA332" s="16" t="n"/>
      <c r="BB332" s="16" t="n"/>
      <c r="BC332" s="16" t="n"/>
    </row>
    <row r="333">
      <c r="A333" s="23" t="n"/>
      <c r="B333" s="23" t="n"/>
      <c r="C333" s="23" t="n"/>
      <c r="D333" s="23" t="n"/>
      <c r="E333" s="23" t="n"/>
      <c r="F333" s="23" t="n"/>
      <c r="G333" s="23" t="n"/>
      <c r="H333" s="23" t="n"/>
      <c r="I333" s="23" t="n"/>
      <c r="J333" s="23" t="n"/>
      <c r="K333" s="23" t="n"/>
      <c r="L333" s="23" t="n"/>
      <c r="M333" s="23" t="n"/>
      <c r="N333" s="23" t="n"/>
      <c r="O333" s="23" t="n"/>
      <c r="P333" s="23" t="n"/>
      <c r="Q333" s="23">
        <f>ROUND((L333*M333*N333)/1000000,3)</f>
        <v/>
      </c>
      <c r="R333" s="23" t="n"/>
      <c r="S333" s="16" t="n"/>
      <c r="T333" s="16" t="n"/>
      <c r="U333" s="16" t="n"/>
      <c r="V333" s="16" t="n"/>
      <c r="W333" s="16" t="n"/>
      <c r="X333" s="4">
        <f>AR333*(W333+35+10)</f>
        <v/>
      </c>
      <c r="Y333" s="4">
        <f>AR333*(W333+35+10+45)</f>
        <v/>
      </c>
      <c r="Z333" s="4">
        <f>AA333+AB333+AC333</f>
        <v/>
      </c>
      <c r="AA333" s="4" t="n"/>
      <c r="AB333" s="4" t="n"/>
      <c r="AC333" s="4" t="n"/>
      <c r="AD333" s="4">
        <f>AA333+AB333</f>
        <v/>
      </c>
      <c r="AE333" s="13">
        <f>IF(AD333&lt;=AT333,"库存不足",IF(AD333&gt;=AT333*1.5,"库存预警","库存正常"))</f>
        <v/>
      </c>
      <c r="AF333" s="4">
        <f>MAX(AT333-AA333-AB333,0)</f>
        <v/>
      </c>
      <c r="AG333" s="4">
        <f>MAX(X333-AD333,0)</f>
        <v/>
      </c>
      <c r="AH333" s="4">
        <f>AF333-AG333</f>
        <v/>
      </c>
      <c r="AI333" s="14">
        <f>AX333+(AA333+AB333)/AR333-60</f>
        <v/>
      </c>
      <c r="AJ333" s="16" t="n"/>
      <c r="AK333" s="16" t="n"/>
      <c r="AL333" s="16" t="n"/>
      <c r="AM333" s="16" t="n"/>
      <c r="AN333" s="15" t="n"/>
      <c r="AO333" s="4">
        <f>ROUND(AK333/7,0)</f>
        <v/>
      </c>
      <c r="AP333" s="4">
        <f>ROUND(AL333/15,0)</f>
        <v/>
      </c>
      <c r="AQ333" s="4">
        <f>ROUND(AM333/30,0)</f>
        <v/>
      </c>
      <c r="AR333" s="4" t="n"/>
      <c r="AS333" s="16" t="n"/>
      <c r="AT333" s="16" t="n"/>
      <c r="AU333" s="16" t="n"/>
      <c r="AV333" s="16" t="n"/>
      <c r="AW333" s="16" t="n"/>
      <c r="AX333" s="14">
        <f>TODAY()</f>
        <v/>
      </c>
      <c r="AY333" s="16" t="n"/>
      <c r="AZ333" s="16" t="n"/>
      <c r="BA333" s="16" t="n"/>
      <c r="BB333" s="16" t="n"/>
      <c r="BC333" s="16" t="n"/>
    </row>
    <row r="334" ht="14.25" customHeight="1" s="31">
      <c r="A334" s="23" t="n"/>
      <c r="B334" s="23" t="n"/>
      <c r="C334" s="23" t="n"/>
      <c r="D334" s="23" t="n"/>
      <c r="E334" s="23" t="n"/>
      <c r="F334" s="23" t="n"/>
      <c r="G334" s="23" t="n"/>
      <c r="H334" s="23" t="n"/>
      <c r="I334" s="23" t="n"/>
      <c r="J334" s="23" t="n"/>
      <c r="K334" s="23" t="n"/>
      <c r="L334" s="23" t="n"/>
      <c r="M334" s="23" t="n"/>
      <c r="N334" s="23" t="n"/>
      <c r="O334" s="23" t="n"/>
      <c r="P334" s="23" t="n"/>
      <c r="Q334" s="25">
        <f>ROUND((L334*M334*N334)/1000000,3)</f>
        <v/>
      </c>
      <c r="R334" s="23" t="n"/>
      <c r="S334" s="16" t="n"/>
      <c r="T334" s="16" t="n"/>
      <c r="U334" s="16" t="n"/>
      <c r="V334" s="16" t="n"/>
      <c r="W334" s="16" t="n"/>
      <c r="X334" s="4">
        <f>AR334*(W334+35+10)</f>
        <v/>
      </c>
      <c r="Y334" s="4">
        <f>AR334*(W334+35+10+45)</f>
        <v/>
      </c>
      <c r="Z334" s="4">
        <f>AA334+AB334+AC334</f>
        <v/>
      </c>
      <c r="AA334" s="4" t="n"/>
      <c r="AB334" s="4" t="n"/>
      <c r="AC334" s="4" t="n"/>
      <c r="AD334" s="4">
        <f>AA334+AB334</f>
        <v/>
      </c>
      <c r="AE334" s="13">
        <f>IF(AD334&lt;=AT334,"库存不足",IF(AD334&gt;=AT334*1.5,"库存预警","库存正常"))</f>
        <v/>
      </c>
      <c r="AF334" s="4">
        <f>MAX(AT334-AA334-AB334,0)</f>
        <v/>
      </c>
      <c r="AG334" s="4">
        <f>MAX(X334-AD334,0)</f>
        <v/>
      </c>
      <c r="AH334" s="4">
        <f>AF334-AG334</f>
        <v/>
      </c>
      <c r="AI334" s="14">
        <f>AX334+(AA334+AB334)/AR334-60</f>
        <v/>
      </c>
      <c r="AJ334" s="16" t="n"/>
      <c r="AK334" s="15" t="n"/>
      <c r="AL334" s="15" t="n"/>
      <c r="AM334" s="15" t="n"/>
      <c r="AN334" s="15" t="n"/>
      <c r="AO334" s="4">
        <f>ROUND(AK334/7,0)</f>
        <v/>
      </c>
      <c r="AP334" s="4">
        <f>ROUND(AL334/15,0)</f>
        <v/>
      </c>
      <c r="AQ334" s="4">
        <f>ROUND(AM334/30,0)</f>
        <v/>
      </c>
      <c r="AR334" s="4" t="n"/>
      <c r="AS334" s="16" t="n"/>
      <c r="AT334" s="16" t="n"/>
      <c r="AU334" s="16" t="n"/>
      <c r="AV334" s="16" t="n"/>
      <c r="AW334" s="16" t="n"/>
      <c r="AX334" s="14">
        <f>TODAY()</f>
        <v/>
      </c>
      <c r="AY334" s="16" t="n"/>
      <c r="AZ334" s="16" t="n"/>
      <c r="BA334" s="16" t="n"/>
      <c r="BB334" s="16" t="n"/>
      <c r="BC334" s="16" t="n"/>
    </row>
    <row r="335" ht="14.25" customHeight="1" s="31">
      <c r="A335" s="23" t="n"/>
      <c r="B335" s="23" t="n"/>
      <c r="C335" s="23" t="n"/>
      <c r="D335" s="23" t="n"/>
      <c r="E335" s="23" t="n"/>
      <c r="F335" s="23" t="n"/>
      <c r="G335" s="23" t="n"/>
      <c r="H335" s="23" t="n"/>
      <c r="I335" s="23" t="n"/>
      <c r="J335" s="23" t="n"/>
      <c r="K335" s="23" t="n"/>
      <c r="L335" s="23" t="n"/>
      <c r="M335" s="23" t="n"/>
      <c r="N335" s="23" t="n"/>
      <c r="O335" s="23" t="n"/>
      <c r="P335" s="23" t="n"/>
      <c r="Q335" s="25">
        <f>ROUND((L335*M335*N335)/1000000,3)</f>
        <v/>
      </c>
      <c r="R335" s="23" t="n"/>
      <c r="S335" s="16" t="n"/>
      <c r="T335" s="16" t="n"/>
      <c r="U335" s="16" t="n"/>
      <c r="V335" s="16" t="n"/>
      <c r="W335" s="16" t="n"/>
      <c r="X335" s="4">
        <f>AR335*(W335+35+10)</f>
        <v/>
      </c>
      <c r="Y335" s="4">
        <f>AR335*(W335+35+10+45)</f>
        <v/>
      </c>
      <c r="Z335" s="4">
        <f>AA335+AB335+AC335</f>
        <v/>
      </c>
      <c r="AA335" s="4" t="n"/>
      <c r="AB335" s="4" t="n"/>
      <c r="AC335" s="4" t="n"/>
      <c r="AD335" s="4">
        <f>AA335+AB335</f>
        <v/>
      </c>
      <c r="AE335" s="13">
        <f>IF(AD335&lt;=AT335,"库存不足",IF(AD335&gt;=AT335*1.5,"库存预警","库存正常"))</f>
        <v/>
      </c>
      <c r="AF335" s="4">
        <f>MAX(AT335-AA335-AB335,0)</f>
        <v/>
      </c>
      <c r="AG335" s="4">
        <f>MAX(X335-AD335,0)</f>
        <v/>
      </c>
      <c r="AH335" s="4">
        <f>AF335-AG335</f>
        <v/>
      </c>
      <c r="AI335" s="14">
        <f>AX335+(AA335+AB335)/AR335-60</f>
        <v/>
      </c>
      <c r="AJ335" s="16" t="n"/>
      <c r="AK335" s="15" t="n"/>
      <c r="AL335" s="15" t="n"/>
      <c r="AM335" s="15" t="n"/>
      <c r="AN335" s="15" t="n"/>
      <c r="AO335" s="4">
        <f>ROUND(AK335/7,0)</f>
        <v/>
      </c>
      <c r="AP335" s="4">
        <f>ROUND(AL335/15,0)</f>
        <v/>
      </c>
      <c r="AQ335" s="4">
        <f>ROUND(AM335/30,0)</f>
        <v/>
      </c>
      <c r="AR335" s="4" t="n"/>
      <c r="AS335" s="16" t="n"/>
      <c r="AT335" s="16" t="n"/>
      <c r="AU335" s="16" t="n"/>
      <c r="AV335" s="16" t="n"/>
      <c r="AW335" s="16" t="n"/>
      <c r="AX335" s="14">
        <f>TODAY()</f>
        <v/>
      </c>
      <c r="AY335" s="16" t="n"/>
      <c r="AZ335" s="16" t="n"/>
      <c r="BA335" s="16" t="n"/>
      <c r="BB335" s="16" t="n"/>
      <c r="BC335" s="16" t="n"/>
    </row>
    <row r="336" ht="14.25" customHeight="1" s="31">
      <c r="A336" s="23" t="n"/>
      <c r="B336" s="23" t="n"/>
      <c r="C336" s="23" t="n"/>
      <c r="D336" s="23" t="n"/>
      <c r="E336" s="23" t="n"/>
      <c r="F336" s="23" t="n"/>
      <c r="G336" s="23" t="n"/>
      <c r="H336" s="23" t="n"/>
      <c r="I336" s="23" t="n"/>
      <c r="J336" s="23" t="n"/>
      <c r="K336" s="23" t="n"/>
      <c r="L336" s="23" t="n"/>
      <c r="M336" s="23" t="n"/>
      <c r="N336" s="23" t="n"/>
      <c r="O336" s="23" t="n"/>
      <c r="P336" s="23" t="n"/>
      <c r="Q336" s="25">
        <f>ROUND((L336*M336*N336)/1000000,3)</f>
        <v/>
      </c>
      <c r="R336" s="23" t="n"/>
      <c r="S336" s="16" t="n"/>
      <c r="T336" s="16" t="n"/>
      <c r="U336" s="16" t="n"/>
      <c r="V336" s="16" t="n"/>
      <c r="W336" s="16" t="n"/>
      <c r="X336" s="4">
        <f>AR336*(W336+35+10)</f>
        <v/>
      </c>
      <c r="Y336" s="4">
        <f>AR336*(W336+35+10+45)</f>
        <v/>
      </c>
      <c r="Z336" s="4">
        <f>AA336+AB336+AC336</f>
        <v/>
      </c>
      <c r="AA336" s="4" t="n"/>
      <c r="AB336" s="4" t="n"/>
      <c r="AC336" s="4" t="n"/>
      <c r="AD336" s="4">
        <f>AA336+AB336</f>
        <v/>
      </c>
      <c r="AE336" s="13">
        <f>IF(AD336&lt;=AT336,"库存不足",IF(AD336&gt;=AT336*1.5,"库存预警","库存正常"))</f>
        <v/>
      </c>
      <c r="AF336" s="4">
        <f>MAX(AT336-AA336-AB336,0)</f>
        <v/>
      </c>
      <c r="AG336" s="4">
        <f>MAX(X336-AD336,0)</f>
        <v/>
      </c>
      <c r="AH336" s="4">
        <f>AF336-AG336</f>
        <v/>
      </c>
      <c r="AI336" s="14">
        <f>AX336+(AA336+AB336)/AR336-60</f>
        <v/>
      </c>
      <c r="AJ336" s="16" t="n"/>
      <c r="AK336" s="15" t="n"/>
      <c r="AL336" s="15" t="n"/>
      <c r="AM336" s="15" t="n"/>
      <c r="AN336" s="15" t="n"/>
      <c r="AO336" s="4">
        <f>ROUND(AK336/7,0)</f>
        <v/>
      </c>
      <c r="AP336" s="4">
        <f>ROUND(AL336/15,0)</f>
        <v/>
      </c>
      <c r="AQ336" s="4">
        <f>ROUND(AM336/30,0)</f>
        <v/>
      </c>
      <c r="AR336" s="4" t="n"/>
      <c r="AS336" s="16" t="n"/>
      <c r="AT336" s="16" t="n"/>
      <c r="AU336" s="16" t="n"/>
      <c r="AV336" s="16" t="n"/>
      <c r="AW336" s="16" t="n"/>
      <c r="AX336" s="14">
        <f>TODAY()</f>
        <v/>
      </c>
      <c r="AY336" s="16" t="n"/>
      <c r="AZ336" s="16" t="n"/>
      <c r="BA336" s="16" t="n"/>
      <c r="BB336" s="16" t="n"/>
      <c r="BC336" s="16" t="n"/>
    </row>
    <row r="337" ht="14.25" customHeight="1" s="31">
      <c r="A337" s="23" t="n"/>
      <c r="B337" s="23" t="n"/>
      <c r="C337" s="23" t="n"/>
      <c r="D337" s="23" t="n"/>
      <c r="E337" s="23" t="n"/>
      <c r="F337" s="23" t="n"/>
      <c r="G337" s="23" t="n"/>
      <c r="H337" s="23" t="n"/>
      <c r="I337" s="23" t="n"/>
      <c r="J337" s="23" t="n"/>
      <c r="K337" s="23" t="n"/>
      <c r="L337" s="23" t="n"/>
      <c r="M337" s="23" t="n"/>
      <c r="N337" s="23" t="n"/>
      <c r="O337" s="23" t="n"/>
      <c r="P337" s="23" t="n"/>
      <c r="Q337" s="25">
        <f>ROUND((L337*M337*N337)/1000000,3)</f>
        <v/>
      </c>
      <c r="R337" s="23" t="n"/>
      <c r="S337" s="16" t="n"/>
      <c r="T337" s="16" t="n"/>
      <c r="U337" s="16" t="n"/>
      <c r="V337" s="16" t="n"/>
      <c r="W337" s="16" t="n"/>
      <c r="X337" s="4">
        <f>AR337*(W337+35+10)</f>
        <v/>
      </c>
      <c r="Y337" s="4">
        <f>AR337*(W337+35+10+45)</f>
        <v/>
      </c>
      <c r="Z337" s="4">
        <f>AA337+AB337+AC337</f>
        <v/>
      </c>
      <c r="AA337" s="4" t="n"/>
      <c r="AB337" s="4" t="n"/>
      <c r="AC337" s="4" t="n"/>
      <c r="AD337" s="4">
        <f>AA337+AB337</f>
        <v/>
      </c>
      <c r="AE337" s="13">
        <f>IF(AD337&lt;=AT337,"库存不足",IF(AD337&gt;=AT337*1.5,"库存预警","库存正常"))</f>
        <v/>
      </c>
      <c r="AF337" s="4">
        <f>MAX(AT337-AA337-AB337,0)</f>
        <v/>
      </c>
      <c r="AG337" s="4">
        <f>MAX(X337-AD337,0)</f>
        <v/>
      </c>
      <c r="AH337" s="4">
        <f>AF337-AG337</f>
        <v/>
      </c>
      <c r="AI337" s="14">
        <f>AX337+(AA337+AB337)/AR337-60</f>
        <v/>
      </c>
      <c r="AJ337" s="16" t="n"/>
      <c r="AK337" s="15" t="n"/>
      <c r="AL337" s="15" t="n"/>
      <c r="AM337" s="15" t="n"/>
      <c r="AN337" s="15" t="n"/>
      <c r="AO337" s="4">
        <f>ROUND(AK337/7,0)</f>
        <v/>
      </c>
      <c r="AP337" s="4">
        <f>ROUND(AL337/15,0)</f>
        <v/>
      </c>
      <c r="AQ337" s="4">
        <f>ROUND(AM337/30,0)</f>
        <v/>
      </c>
      <c r="AR337" s="4" t="n"/>
      <c r="AS337" s="16" t="n"/>
      <c r="AT337" s="16" t="n"/>
      <c r="AU337" s="16" t="n"/>
      <c r="AV337" s="16" t="n"/>
      <c r="AW337" s="16" t="n"/>
      <c r="AX337" s="14">
        <f>TODAY()</f>
        <v/>
      </c>
      <c r="AY337" s="16" t="n"/>
      <c r="AZ337" s="16" t="n"/>
      <c r="BA337" s="16" t="n"/>
      <c r="BB337" s="16" t="n"/>
      <c r="BC337" s="16" t="n"/>
    </row>
    <row r="338" ht="14.25" customHeight="1" s="31">
      <c r="A338" s="23" t="n"/>
      <c r="B338" s="23" t="n"/>
      <c r="C338" s="23" t="n"/>
      <c r="D338" s="23" t="n"/>
      <c r="E338" s="23" t="n"/>
      <c r="F338" s="4" t="n"/>
      <c r="G338" s="23" t="n"/>
      <c r="H338" s="23" t="n"/>
      <c r="I338" s="23" t="n"/>
      <c r="J338" s="23" t="n"/>
      <c r="K338" s="23" t="n"/>
      <c r="L338" s="23" t="n"/>
      <c r="M338" s="23" t="n"/>
      <c r="N338" s="23" t="n"/>
      <c r="O338" s="23" t="n"/>
      <c r="P338" s="23" t="n"/>
      <c r="Q338" s="25">
        <f>ROUND((L338*M338*N338)/1000000,3)</f>
        <v/>
      </c>
      <c r="R338" s="23" t="n"/>
      <c r="S338" s="16" t="n"/>
      <c r="T338" s="16" t="n"/>
      <c r="U338" s="16" t="n"/>
      <c r="V338" s="16" t="n"/>
      <c r="W338" s="16" t="n"/>
      <c r="X338" s="4">
        <f>AR338*(W338+35+10)</f>
        <v/>
      </c>
      <c r="Y338" s="4">
        <f>AR338*(W338+35+10+45)</f>
        <v/>
      </c>
      <c r="Z338" s="4">
        <f>AA338+AB338+AC338</f>
        <v/>
      </c>
      <c r="AA338" s="4" t="n"/>
      <c r="AB338" s="4" t="n"/>
      <c r="AC338" s="4" t="n"/>
      <c r="AD338" s="4">
        <f>AA338+AB338</f>
        <v/>
      </c>
      <c r="AE338" s="13">
        <f>IF(AD338&lt;=AT338,"库存不足",IF(AD338&gt;=AT338*1.5,"库存预警","库存正常"))</f>
        <v/>
      </c>
      <c r="AF338" s="4">
        <f>MAX(AT338-AA338-AB338,0)</f>
        <v/>
      </c>
      <c r="AG338" s="4">
        <f>MAX(X338-AD338,0)</f>
        <v/>
      </c>
      <c r="AH338" s="4">
        <f>AF338-AG338</f>
        <v/>
      </c>
      <c r="AI338" s="14">
        <f>AX338+(AA338+AB338)/AR338-60</f>
        <v/>
      </c>
      <c r="AJ338" s="16" t="n"/>
      <c r="AK338" s="16" t="n"/>
      <c r="AL338" s="16" t="n"/>
      <c r="AM338" s="16" t="n"/>
      <c r="AN338" s="15" t="n"/>
      <c r="AO338" s="4">
        <f>ROUND(AK338/7,0)</f>
        <v/>
      </c>
      <c r="AP338" s="4">
        <f>ROUND(AL338/15,0)</f>
        <v/>
      </c>
      <c r="AQ338" s="4">
        <f>ROUND(AM338/30,0)</f>
        <v/>
      </c>
      <c r="AR338" s="4" t="n"/>
      <c r="AS338" s="16" t="n"/>
      <c r="AT338" s="16" t="n"/>
      <c r="AU338" s="16" t="n"/>
      <c r="AV338" s="16" t="n"/>
      <c r="AW338" s="16" t="n"/>
      <c r="AX338" s="14">
        <f>TODAY()</f>
        <v/>
      </c>
      <c r="AY338" s="16" t="n"/>
      <c r="AZ338" s="16" t="n"/>
      <c r="BA338" s="16" t="n"/>
      <c r="BB338" s="16" t="n"/>
      <c r="BC338" s="16" t="n"/>
    </row>
    <row r="339" ht="14.25" customHeight="1" s="31">
      <c r="A339" s="23" t="n"/>
      <c r="B339" s="23" t="n"/>
      <c r="C339" s="23" t="n"/>
      <c r="D339" s="23" t="n"/>
      <c r="E339" s="23" t="n"/>
      <c r="F339" s="4" t="n"/>
      <c r="G339" s="23" t="n"/>
      <c r="H339" s="23" t="n"/>
      <c r="I339" s="23" t="n"/>
      <c r="J339" s="23" t="n"/>
      <c r="K339" s="23" t="n"/>
      <c r="L339" s="23" t="n"/>
      <c r="M339" s="23" t="n"/>
      <c r="N339" s="23" t="n"/>
      <c r="O339" s="23" t="n"/>
      <c r="P339" s="23" t="n"/>
      <c r="Q339" s="25">
        <f>ROUND((L339*M339*N339)/1000000,3)</f>
        <v/>
      </c>
      <c r="R339" s="23" t="n"/>
      <c r="S339" s="16" t="n"/>
      <c r="T339" s="16" t="n"/>
      <c r="U339" s="16" t="n"/>
      <c r="V339" s="16" t="n"/>
      <c r="W339" s="16" t="n"/>
      <c r="X339" s="4">
        <f>AR339*(W339+35+10)</f>
        <v/>
      </c>
      <c r="Y339" s="4">
        <f>AR339*(W339+35+10+45)</f>
        <v/>
      </c>
      <c r="Z339" s="4">
        <f>AA339+AB339+AC339</f>
        <v/>
      </c>
      <c r="AA339" s="4" t="n"/>
      <c r="AB339" s="4" t="n"/>
      <c r="AC339" s="4" t="n"/>
      <c r="AD339" s="4">
        <f>AA339+AB339</f>
        <v/>
      </c>
      <c r="AE339" s="13">
        <f>IF(AD339&lt;=AT339,"库存不足",IF(AD339&gt;=AT339*1.5,"库存预警","库存正常"))</f>
        <v/>
      </c>
      <c r="AF339" s="4">
        <f>MAX(AT339-AA339-AB339,0)</f>
        <v/>
      </c>
      <c r="AG339" s="4">
        <f>MAX(X339-AD339,0)</f>
        <v/>
      </c>
      <c r="AH339" s="4">
        <f>AF339-AG339</f>
        <v/>
      </c>
      <c r="AI339" s="14">
        <f>AX339+(AA339+AB339)/AR339-60</f>
        <v/>
      </c>
      <c r="AJ339" s="16" t="n"/>
      <c r="AK339" s="16" t="n"/>
      <c r="AL339" s="16" t="n"/>
      <c r="AM339" s="16" t="n"/>
      <c r="AN339" s="15" t="n"/>
      <c r="AO339" s="4">
        <f>ROUND(AK339/7,0)</f>
        <v/>
      </c>
      <c r="AP339" s="4">
        <f>ROUND(AL339/15,0)</f>
        <v/>
      </c>
      <c r="AQ339" s="4">
        <f>ROUND(AM339/30,0)</f>
        <v/>
      </c>
      <c r="AR339" s="4" t="n"/>
      <c r="AS339" s="16" t="n"/>
      <c r="AT339" s="16" t="n"/>
      <c r="AU339" s="16" t="n"/>
      <c r="AV339" s="16" t="n"/>
      <c r="AW339" s="16" t="n"/>
      <c r="AX339" s="14">
        <f>TODAY()</f>
        <v/>
      </c>
      <c r="AY339" s="16" t="n"/>
      <c r="AZ339" s="16" t="n"/>
      <c r="BA339" s="16" t="n"/>
      <c r="BB339" s="16" t="n"/>
      <c r="BC339" s="16" t="n"/>
    </row>
    <row r="340" ht="14.25" customHeight="1" s="31">
      <c r="A340" s="28" t="n"/>
      <c r="B340" s="23" t="n"/>
      <c r="C340" s="28" t="n"/>
      <c r="D340" s="23" t="n"/>
      <c r="E340" s="23" t="n"/>
      <c r="F340" s="23" t="n"/>
      <c r="G340" s="23" t="n"/>
      <c r="H340" s="23" t="n"/>
      <c r="I340" s="23" t="n"/>
      <c r="J340" s="23" t="n"/>
      <c r="K340" s="23" t="n"/>
      <c r="L340" s="23" t="n"/>
      <c r="M340" s="23" t="n"/>
      <c r="N340" s="23" t="n"/>
      <c r="O340" s="23" t="n"/>
      <c r="P340" s="23" t="n"/>
      <c r="Q340" s="25">
        <f>ROUND((L340*M340*N340)/1000000,3)</f>
        <v/>
      </c>
      <c r="R340" s="23" t="n"/>
      <c r="S340" s="16" t="n"/>
      <c r="T340" s="16" t="n"/>
      <c r="U340" s="16" t="n"/>
      <c r="V340" s="16" t="n"/>
      <c r="W340" s="16" t="n"/>
      <c r="X340" s="16" t="n"/>
      <c r="Y340" s="16" t="n"/>
      <c r="Z340" s="16" t="n"/>
      <c r="AA340" s="4" t="n"/>
      <c r="AB340" s="4" t="n"/>
      <c r="AC340" s="4" t="n"/>
      <c r="AD340" s="4">
        <f>AA340+AB340</f>
        <v/>
      </c>
      <c r="AE340" s="13">
        <f>IF(AD340&lt;=AT340,"库存不足",IF(AD340&gt;=AT340*1.5,"库存预警","库存正常"))</f>
        <v/>
      </c>
      <c r="AF340" s="4">
        <f>MAX(AT340-AA340-AB340,0)</f>
        <v/>
      </c>
      <c r="AG340" s="4">
        <f>MAX(X340-AD340,0)</f>
        <v/>
      </c>
      <c r="AH340" s="4">
        <f>AF340-AG340</f>
        <v/>
      </c>
      <c r="AI340" s="14">
        <f>AX340+(AA340+AB340)/AR340-60</f>
        <v/>
      </c>
      <c r="AJ340" s="16" t="n"/>
      <c r="AK340" s="16" t="n"/>
      <c r="AL340" s="16" t="n"/>
      <c r="AM340" s="16" t="n"/>
      <c r="AN340" s="15" t="n"/>
      <c r="AO340" s="4">
        <f>ROUND(AK340/7,0)</f>
        <v/>
      </c>
      <c r="AP340" s="4">
        <f>ROUND(AL340/15,0)</f>
        <v/>
      </c>
      <c r="AQ340" s="4">
        <f>ROUND(AM340/30,0)</f>
        <v/>
      </c>
      <c r="AR340" s="4" t="n"/>
      <c r="AS340" s="16" t="n"/>
      <c r="AT340" s="16" t="n"/>
      <c r="AU340" s="37" t="n"/>
      <c r="AV340" s="16" t="n"/>
      <c r="AW340" s="16" t="n"/>
      <c r="AX340" s="14">
        <f>TODAY()</f>
        <v/>
      </c>
      <c r="AY340" s="16" t="n"/>
      <c r="AZ340" s="16" t="n"/>
      <c r="BA340" s="16" t="n"/>
      <c r="BB340" s="16" t="n"/>
      <c r="BC340" s="16" t="n"/>
    </row>
    <row r="341" ht="14.25" customHeight="1" s="31">
      <c r="A341" s="28" t="n"/>
      <c r="B341" s="23" t="n"/>
      <c r="C341" s="28" t="n"/>
      <c r="D341" s="23" t="n"/>
      <c r="E341" s="23" t="n"/>
      <c r="F341" s="23" t="n"/>
      <c r="G341" s="23" t="n"/>
      <c r="H341" s="23" t="n"/>
      <c r="I341" s="23" t="n"/>
      <c r="J341" s="23" t="n"/>
      <c r="K341" s="23" t="n"/>
      <c r="L341" s="23" t="n"/>
      <c r="M341" s="23" t="n"/>
      <c r="N341" s="23" t="n"/>
      <c r="O341" s="23" t="n"/>
      <c r="P341" s="23" t="n"/>
      <c r="Q341" s="25">
        <f>ROUND((L341*M341*N341)/1000000,3)</f>
        <v/>
      </c>
      <c r="R341" s="23" t="n"/>
      <c r="S341" s="16" t="n"/>
      <c r="T341" s="16" t="n"/>
      <c r="U341" s="16" t="n"/>
      <c r="V341" s="16" t="n"/>
      <c r="W341" s="16" t="n"/>
      <c r="X341" s="16" t="n"/>
      <c r="Y341" s="16" t="n"/>
      <c r="Z341" s="16" t="n"/>
      <c r="AA341" s="4" t="n"/>
      <c r="AB341" s="4" t="n"/>
      <c r="AC341" s="4" t="n"/>
      <c r="AD341" s="4">
        <f>AA341+AB341</f>
        <v/>
      </c>
      <c r="AE341" s="13">
        <f>IF(AD341&lt;=AT341,"库存不足",IF(AD341&gt;=AT341*1.5,"库存预警","库存正常"))</f>
        <v/>
      </c>
      <c r="AF341" s="4">
        <f>MAX(AT341-AA341-AB341,0)</f>
        <v/>
      </c>
      <c r="AG341" s="4">
        <f>MAX(X341-AD341,0)</f>
        <v/>
      </c>
      <c r="AH341" s="4">
        <f>AF341-AG341</f>
        <v/>
      </c>
      <c r="AI341" s="14">
        <f>AX341+(AA341+AB341)/AR341-60</f>
        <v/>
      </c>
      <c r="AJ341" s="16" t="n"/>
      <c r="AK341" s="16" t="n"/>
      <c r="AL341" s="16" t="n"/>
      <c r="AM341" s="16" t="n"/>
      <c r="AN341" s="15" t="n"/>
      <c r="AO341" s="4">
        <f>ROUND(AK341/7,0)</f>
        <v/>
      </c>
      <c r="AP341" s="4">
        <f>ROUND(AL341/15,0)</f>
        <v/>
      </c>
      <c r="AQ341" s="4">
        <f>ROUND(AM341/30,0)</f>
        <v/>
      </c>
      <c r="AR341" s="4" t="n"/>
      <c r="AS341" s="16" t="n"/>
      <c r="AT341" s="16" t="n"/>
      <c r="AU341" s="37" t="n"/>
      <c r="AV341" s="16" t="n"/>
      <c r="AW341" s="16" t="n"/>
      <c r="AX341" s="14">
        <f>TODAY()</f>
        <v/>
      </c>
      <c r="AY341" s="16" t="n"/>
      <c r="AZ341" s="16" t="n"/>
      <c r="BA341" s="16" t="n"/>
      <c r="BB341" s="16" t="n"/>
      <c r="BC341" s="16" t="n"/>
    </row>
    <row r="342" ht="14.25" customHeight="1" s="31">
      <c r="A342" s="28" t="n"/>
      <c r="B342" s="23" t="n"/>
      <c r="C342" s="28" t="n"/>
      <c r="D342" s="23" t="n"/>
      <c r="E342" s="23" t="n"/>
      <c r="F342" s="23" t="n"/>
      <c r="G342" s="23" t="n"/>
      <c r="H342" s="23" t="n"/>
      <c r="I342" s="23" t="n"/>
      <c r="J342" s="23" t="n"/>
      <c r="K342" s="23" t="n"/>
      <c r="L342" s="23" t="n"/>
      <c r="M342" s="23" t="n"/>
      <c r="N342" s="23" t="n"/>
      <c r="O342" s="23" t="n"/>
      <c r="P342" s="23" t="n"/>
      <c r="Q342" s="25">
        <f>ROUND((L342*M342*N342)/1000000,3)</f>
        <v/>
      </c>
      <c r="R342" s="23" t="n"/>
      <c r="S342" s="16" t="n"/>
      <c r="T342" s="16" t="n"/>
      <c r="U342" s="16" t="n"/>
      <c r="V342" s="16" t="n"/>
      <c r="W342" s="16" t="n"/>
      <c r="X342" s="16" t="n"/>
      <c r="Y342" s="16" t="n"/>
      <c r="Z342" s="16" t="n"/>
      <c r="AA342" s="4" t="n"/>
      <c r="AB342" s="4" t="n"/>
      <c r="AC342" s="4" t="n"/>
      <c r="AD342" s="4">
        <f>AA342+AB342</f>
        <v/>
      </c>
      <c r="AE342" s="13">
        <f>IF(AD342&lt;=AT342,"库存不足",IF(AD342&gt;=AT342*1.5,"库存预警","库存正常"))</f>
        <v/>
      </c>
      <c r="AF342" s="4">
        <f>MAX(AT342-AA342-AB342,0)</f>
        <v/>
      </c>
      <c r="AG342" s="4">
        <f>MAX(X342-AD342,0)</f>
        <v/>
      </c>
      <c r="AH342" s="4">
        <f>AF342-AG342</f>
        <v/>
      </c>
      <c r="AI342" s="14">
        <f>AX342+(AA342+AB342)/AR342-60</f>
        <v/>
      </c>
      <c r="AJ342" s="16" t="n"/>
      <c r="AK342" s="16" t="n"/>
      <c r="AL342" s="16" t="n"/>
      <c r="AM342" s="16" t="n"/>
      <c r="AN342" s="15" t="n"/>
      <c r="AO342" s="4">
        <f>ROUND(AK342/7,0)</f>
        <v/>
      </c>
      <c r="AP342" s="4">
        <f>ROUND(AL342/15,0)</f>
        <v/>
      </c>
      <c r="AQ342" s="4">
        <f>ROUND(AM342/30,0)</f>
        <v/>
      </c>
      <c r="AR342" s="4" t="n"/>
      <c r="AS342" s="16" t="n"/>
      <c r="AT342" s="16" t="n"/>
      <c r="AU342" s="37" t="n"/>
      <c r="AV342" s="16" t="n"/>
      <c r="AW342" s="16" t="n"/>
      <c r="AX342" s="14">
        <f>TODAY()</f>
        <v/>
      </c>
      <c r="AY342" s="16" t="n"/>
      <c r="AZ342" s="16" t="n"/>
      <c r="BA342" s="16" t="n"/>
      <c r="BB342" s="16" t="n"/>
      <c r="BC342" s="16" t="n"/>
    </row>
    <row r="343" ht="14.25" customHeight="1" s="31">
      <c r="A343" s="28" t="n"/>
      <c r="B343" s="23" t="n"/>
      <c r="C343" s="28" t="n"/>
      <c r="D343" s="23" t="n"/>
      <c r="E343" s="23" t="n"/>
      <c r="F343" s="23" t="n"/>
      <c r="G343" s="23" t="n"/>
      <c r="H343" s="23" t="n"/>
      <c r="I343" s="23" t="n"/>
      <c r="J343" s="23" t="n"/>
      <c r="K343" s="23" t="n"/>
      <c r="L343" s="23" t="n"/>
      <c r="M343" s="23" t="n"/>
      <c r="N343" s="23" t="n"/>
      <c r="O343" s="23" t="n"/>
      <c r="P343" s="23" t="n"/>
      <c r="Q343" s="25">
        <f>ROUND((L343*M343*N343)/1000000,3)</f>
        <v/>
      </c>
      <c r="R343" s="23" t="n"/>
      <c r="S343" s="16" t="n"/>
      <c r="T343" s="16" t="n"/>
      <c r="U343" s="16" t="n"/>
      <c r="V343" s="16" t="n"/>
      <c r="W343" s="16" t="n"/>
      <c r="X343" s="16" t="n"/>
      <c r="Y343" s="16" t="n"/>
      <c r="Z343" s="16" t="n"/>
      <c r="AA343" s="4" t="n"/>
      <c r="AB343" s="4" t="n"/>
      <c r="AC343" s="4" t="n"/>
      <c r="AD343" s="4">
        <f>AA343+AB343</f>
        <v/>
      </c>
      <c r="AE343" s="13">
        <f>IF(AD343&lt;=AT343,"库存不足",IF(AD343&gt;=AT343*1.5,"库存预警","库存正常"))</f>
        <v/>
      </c>
      <c r="AF343" s="4">
        <f>MAX(AT343-AA343-AB343,0)</f>
        <v/>
      </c>
      <c r="AG343" s="4">
        <f>MAX(X343-AD343,0)</f>
        <v/>
      </c>
      <c r="AH343" s="4">
        <f>AF343-AG343</f>
        <v/>
      </c>
      <c r="AI343" s="14">
        <f>AX343+(AA343+AB343)/AR343-60</f>
        <v/>
      </c>
      <c r="AJ343" s="16" t="n"/>
      <c r="AK343" s="16" t="n"/>
      <c r="AL343" s="16" t="n"/>
      <c r="AM343" s="16" t="n"/>
      <c r="AN343" s="15" t="n"/>
      <c r="AO343" s="4">
        <f>ROUND(AK343/7,0)</f>
        <v/>
      </c>
      <c r="AP343" s="4">
        <f>ROUND(AL343/15,0)</f>
        <v/>
      </c>
      <c r="AQ343" s="4">
        <f>ROUND(AM343/30,0)</f>
        <v/>
      </c>
      <c r="AR343" s="4" t="n"/>
      <c r="AS343" s="16" t="n"/>
      <c r="AT343" s="16" t="n"/>
      <c r="AU343" s="37" t="n"/>
      <c r="AV343" s="16" t="n"/>
      <c r="AW343" s="16" t="n"/>
      <c r="AX343" s="14">
        <f>TODAY()</f>
        <v/>
      </c>
      <c r="AY343" s="16" t="n"/>
      <c r="AZ343" s="16" t="n"/>
      <c r="BA343" s="16" t="n"/>
      <c r="BB343" s="16" t="n"/>
      <c r="BC343" s="16" t="n"/>
    </row>
    <row r="344" ht="14.25" customHeight="1" s="31">
      <c r="A344" s="28" t="n"/>
      <c r="B344" s="23" t="n"/>
      <c r="C344" s="28" t="n"/>
      <c r="D344" s="23" t="n"/>
      <c r="E344" s="23" t="n"/>
      <c r="F344" s="23" t="n"/>
      <c r="G344" s="23" t="n"/>
      <c r="H344" s="23" t="n"/>
      <c r="I344" s="23" t="n"/>
      <c r="J344" s="23" t="n"/>
      <c r="K344" s="23" t="n"/>
      <c r="L344" s="23" t="n"/>
      <c r="M344" s="23" t="n"/>
      <c r="N344" s="23" t="n"/>
      <c r="O344" s="23" t="n"/>
      <c r="P344" s="23" t="n"/>
      <c r="Q344" s="25">
        <f>ROUND((L344*M344*N344)/1000000,3)</f>
        <v/>
      </c>
      <c r="R344" s="23" t="n"/>
      <c r="S344" s="16" t="n"/>
      <c r="T344" s="16" t="n"/>
      <c r="U344" s="16" t="n"/>
      <c r="V344" s="16" t="n"/>
      <c r="W344" s="16" t="n"/>
      <c r="X344" s="16" t="n"/>
      <c r="Y344" s="16" t="n"/>
      <c r="Z344" s="16" t="n"/>
      <c r="AA344" s="4" t="n"/>
      <c r="AB344" s="4" t="n"/>
      <c r="AC344" s="4" t="n"/>
      <c r="AD344" s="4">
        <f>AA344+AB344</f>
        <v/>
      </c>
      <c r="AE344" s="13">
        <f>IF(AD344&lt;=AT344,"库存不足",IF(AD344&gt;=AT344*1.5,"库存预警","库存正常"))</f>
        <v/>
      </c>
      <c r="AF344" s="4">
        <f>MAX(AT344-AA344-AB344,0)</f>
        <v/>
      </c>
      <c r="AG344" s="4">
        <f>MAX(X344-AD344,0)</f>
        <v/>
      </c>
      <c r="AH344" s="4">
        <f>AF344-AG344</f>
        <v/>
      </c>
      <c r="AI344" s="14">
        <f>AX344+(AA344+AB344)/AR344-60</f>
        <v/>
      </c>
      <c r="AJ344" s="16" t="n"/>
      <c r="AK344" s="16" t="n"/>
      <c r="AL344" s="16" t="n"/>
      <c r="AM344" s="16" t="n"/>
      <c r="AN344" s="15" t="n"/>
      <c r="AO344" s="4">
        <f>ROUND(AK344/7,0)</f>
        <v/>
      </c>
      <c r="AP344" s="4">
        <f>ROUND(AL344/15,0)</f>
        <v/>
      </c>
      <c r="AQ344" s="4">
        <f>ROUND(AM344/30,0)</f>
        <v/>
      </c>
      <c r="AR344" s="4" t="n"/>
      <c r="AS344" s="16" t="n"/>
      <c r="AT344" s="16" t="n"/>
      <c r="AU344" s="37" t="n"/>
      <c r="AV344" s="16" t="n"/>
      <c r="AW344" s="16" t="n"/>
      <c r="AX344" s="14">
        <f>TODAY()</f>
        <v/>
      </c>
      <c r="AY344" s="16" t="n"/>
      <c r="AZ344" s="16" t="n"/>
      <c r="BA344" s="16" t="n"/>
      <c r="BB344" s="16" t="n"/>
      <c r="BC344" s="16" t="n"/>
    </row>
    <row r="345" ht="14.25" customHeight="1" s="31">
      <c r="A345" s="28" t="n"/>
      <c r="B345" s="23" t="n"/>
      <c r="C345" s="28" t="n"/>
      <c r="D345" s="23" t="n"/>
      <c r="E345" s="23" t="n"/>
      <c r="F345" s="23" t="n"/>
      <c r="G345" s="23" t="n"/>
      <c r="H345" s="23" t="n"/>
      <c r="I345" s="23" t="n"/>
      <c r="J345" s="23" t="n"/>
      <c r="K345" s="23" t="n"/>
      <c r="L345" s="23" t="n"/>
      <c r="M345" s="23" t="n"/>
      <c r="N345" s="23" t="n"/>
      <c r="O345" s="23" t="n"/>
      <c r="P345" s="23" t="n"/>
      <c r="Q345" s="25">
        <f>ROUND((L345*M345*N345)/1000000,3)</f>
        <v/>
      </c>
      <c r="R345" s="23" t="n"/>
      <c r="S345" s="16" t="n"/>
      <c r="T345" s="16" t="n"/>
      <c r="U345" s="16" t="n"/>
      <c r="V345" s="16" t="n"/>
      <c r="W345" s="16" t="n"/>
      <c r="X345" s="16" t="n"/>
      <c r="Y345" s="16" t="n"/>
      <c r="Z345" s="16" t="n"/>
      <c r="AA345" s="4" t="n"/>
      <c r="AB345" s="4" t="n"/>
      <c r="AC345" s="4" t="n"/>
      <c r="AD345" s="4">
        <f>AA345+AB345</f>
        <v/>
      </c>
      <c r="AE345" s="13">
        <f>IF(AD345&lt;=AT345,"库存不足",IF(AD345&gt;=AT345*1.5,"库存预警","库存正常"))</f>
        <v/>
      </c>
      <c r="AF345" s="4">
        <f>MAX(AT345-AA345-AB345,0)</f>
        <v/>
      </c>
      <c r="AG345" s="4">
        <f>MAX(X345-AD345,0)</f>
        <v/>
      </c>
      <c r="AH345" s="4">
        <f>AF345-AG345</f>
        <v/>
      </c>
      <c r="AI345" s="14">
        <f>AX345+(AA345+AB345)/AR345-60</f>
        <v/>
      </c>
      <c r="AJ345" s="16" t="n"/>
      <c r="AK345" s="16" t="n"/>
      <c r="AL345" s="16" t="n"/>
      <c r="AM345" s="16" t="n"/>
      <c r="AN345" s="15" t="n"/>
      <c r="AO345" s="4">
        <f>ROUND(AK345/7,0)</f>
        <v/>
      </c>
      <c r="AP345" s="4">
        <f>ROUND(AL345/15,0)</f>
        <v/>
      </c>
      <c r="AQ345" s="4">
        <f>ROUND(AM345/30,0)</f>
        <v/>
      </c>
      <c r="AR345" s="4" t="n"/>
      <c r="AS345" s="16" t="n"/>
      <c r="AT345" s="16" t="n"/>
      <c r="AU345" s="37" t="n"/>
      <c r="AV345" s="16" t="n"/>
      <c r="AW345" s="16" t="n"/>
      <c r="AX345" s="14">
        <f>TODAY()</f>
        <v/>
      </c>
      <c r="AY345" s="16" t="n"/>
      <c r="AZ345" s="16" t="n"/>
      <c r="BA345" s="16" t="n"/>
      <c r="BB345" s="16" t="n"/>
      <c r="BC345" s="16" t="n"/>
    </row>
    <row r="346" ht="14.25" customHeight="1" s="31">
      <c r="A346" s="28" t="n"/>
      <c r="B346" s="23" t="n"/>
      <c r="C346" s="28" t="n"/>
      <c r="D346" s="23" t="n"/>
      <c r="E346" s="23" t="n"/>
      <c r="F346" s="23" t="n"/>
      <c r="G346" s="23" t="n"/>
      <c r="H346" s="23" t="n"/>
      <c r="I346" s="23" t="n"/>
      <c r="J346" s="23" t="n"/>
      <c r="K346" s="23" t="n"/>
      <c r="L346" s="23" t="n"/>
      <c r="M346" s="23" t="n"/>
      <c r="N346" s="23" t="n"/>
      <c r="O346" s="23" t="n"/>
      <c r="P346" s="23" t="n"/>
      <c r="Q346" s="25">
        <f>ROUND((L346*M346*N346)/1000000,3)</f>
        <v/>
      </c>
      <c r="R346" s="23" t="n"/>
      <c r="S346" s="16" t="n"/>
      <c r="T346" s="16" t="n"/>
      <c r="U346" s="16" t="n"/>
      <c r="V346" s="16" t="n"/>
      <c r="W346" s="16" t="n"/>
      <c r="X346" s="16" t="n"/>
      <c r="Y346" s="16" t="n"/>
      <c r="Z346" s="16" t="n"/>
      <c r="AA346" s="4" t="n"/>
      <c r="AB346" s="4" t="n"/>
      <c r="AC346" s="4" t="n"/>
      <c r="AD346" s="4">
        <f>AA346+AB346</f>
        <v/>
      </c>
      <c r="AE346" s="13">
        <f>IF(AD346&lt;=AT346,"库存不足",IF(AD346&gt;=AT346*1.5,"库存预警","库存正常"))</f>
        <v/>
      </c>
      <c r="AF346" s="4">
        <f>MAX(AT346-AA346-AB346,0)</f>
        <v/>
      </c>
      <c r="AG346" s="4">
        <f>MAX(X346-AD346,0)</f>
        <v/>
      </c>
      <c r="AH346" s="4">
        <f>AF346-AG346</f>
        <v/>
      </c>
      <c r="AI346" s="14">
        <f>AX346+(AA346+AB346)/AR346-60</f>
        <v/>
      </c>
      <c r="AJ346" s="16" t="n"/>
      <c r="AK346" s="16" t="n"/>
      <c r="AL346" s="16" t="n"/>
      <c r="AM346" s="16" t="n"/>
      <c r="AN346" s="15" t="n"/>
      <c r="AO346" s="4">
        <f>ROUND(AK346/7,0)</f>
        <v/>
      </c>
      <c r="AP346" s="4">
        <f>ROUND(AL346/15,0)</f>
        <v/>
      </c>
      <c r="AQ346" s="4">
        <f>ROUND(AM346/30,0)</f>
        <v/>
      </c>
      <c r="AR346" s="4" t="n"/>
      <c r="AS346" s="16" t="n"/>
      <c r="AT346" s="16" t="n"/>
      <c r="AU346" s="37" t="n"/>
      <c r="AV346" s="16" t="n"/>
      <c r="AW346" s="16" t="n"/>
      <c r="AX346" s="14">
        <f>TODAY()</f>
        <v/>
      </c>
      <c r="AY346" s="16" t="n"/>
      <c r="AZ346" s="16" t="n"/>
      <c r="BA346" s="16" t="n"/>
      <c r="BB346" s="16" t="n"/>
      <c r="BC346" s="16" t="n"/>
    </row>
    <row r="347" ht="14.25" customHeight="1" s="31">
      <c r="A347" s="28" t="n"/>
      <c r="B347" s="23" t="n"/>
      <c r="C347" s="28" t="n"/>
      <c r="D347" s="23" t="n"/>
      <c r="E347" s="23" t="n"/>
      <c r="F347" s="23" t="n"/>
      <c r="G347" s="23" t="n"/>
      <c r="H347" s="23" t="n"/>
      <c r="I347" s="23" t="n"/>
      <c r="J347" s="23" t="n"/>
      <c r="K347" s="23" t="n"/>
      <c r="L347" s="23" t="n"/>
      <c r="M347" s="23" t="n"/>
      <c r="N347" s="23" t="n"/>
      <c r="O347" s="23" t="n"/>
      <c r="P347" s="23" t="n"/>
      <c r="Q347" s="25">
        <f>ROUND((L347*M347*N347)/1000000,3)</f>
        <v/>
      </c>
      <c r="R347" s="23" t="n"/>
      <c r="S347" s="16" t="n"/>
      <c r="T347" s="16" t="n"/>
      <c r="U347" s="16" t="n"/>
      <c r="V347" s="16" t="n"/>
      <c r="W347" s="16" t="n"/>
      <c r="X347" s="16" t="n"/>
      <c r="Y347" s="16" t="n"/>
      <c r="Z347" s="16" t="n"/>
      <c r="AA347" s="4" t="n"/>
      <c r="AB347" s="4" t="n"/>
      <c r="AC347" s="4" t="n"/>
      <c r="AD347" s="4">
        <f>AA347+AB347</f>
        <v/>
      </c>
      <c r="AE347" s="13">
        <f>IF(AD347&lt;=AT347,"库存不足",IF(AD347&gt;=AT347*1.5,"库存预警","库存正常"))</f>
        <v/>
      </c>
      <c r="AF347" s="4">
        <f>MAX(AT347-AA347-AB347,0)</f>
        <v/>
      </c>
      <c r="AG347" s="4">
        <f>MAX(X347-AD347,0)</f>
        <v/>
      </c>
      <c r="AH347" s="4">
        <f>AF347-AG347</f>
        <v/>
      </c>
      <c r="AI347" s="14">
        <f>AX347+(AA347+AB347)/AR347-60</f>
        <v/>
      </c>
      <c r="AJ347" s="16" t="n"/>
      <c r="AK347" s="16" t="n"/>
      <c r="AL347" s="16" t="n"/>
      <c r="AM347" s="16" t="n"/>
      <c r="AN347" s="15" t="n"/>
      <c r="AO347" s="4">
        <f>ROUND(AK347/7,0)</f>
        <v/>
      </c>
      <c r="AP347" s="4">
        <f>ROUND(AL347/15,0)</f>
        <v/>
      </c>
      <c r="AQ347" s="4">
        <f>ROUND(AM347/30,0)</f>
        <v/>
      </c>
      <c r="AR347" s="4" t="n"/>
      <c r="AS347" s="16" t="n"/>
      <c r="AT347" s="16" t="n"/>
      <c r="AU347" s="37" t="n"/>
      <c r="AV347" s="16" t="n"/>
      <c r="AW347" s="16" t="n"/>
      <c r="AX347" s="14">
        <f>TODAY()</f>
        <v/>
      </c>
      <c r="AY347" s="16" t="n"/>
      <c r="AZ347" s="16" t="n"/>
      <c r="BA347" s="16" t="n"/>
      <c r="BB347" s="16" t="n"/>
      <c r="BC347" s="16" t="n"/>
    </row>
    <row r="348" ht="14.25" customHeight="1" s="31">
      <c r="A348" s="28" t="n"/>
      <c r="B348" s="23" t="n"/>
      <c r="C348" s="28" t="n"/>
      <c r="D348" s="23" t="n"/>
      <c r="E348" s="23" t="n"/>
      <c r="F348" s="23" t="n"/>
      <c r="G348" s="23" t="n"/>
      <c r="H348" s="23" t="n"/>
      <c r="I348" s="23" t="n"/>
      <c r="J348" s="23" t="n"/>
      <c r="K348" s="23" t="n"/>
      <c r="L348" s="23" t="n"/>
      <c r="M348" s="23" t="n"/>
      <c r="N348" s="23" t="n"/>
      <c r="O348" s="23" t="n"/>
      <c r="P348" s="23" t="n"/>
      <c r="Q348" s="25">
        <f>ROUND((L348*M348*N348)/1000000,3)</f>
        <v/>
      </c>
      <c r="R348" s="23" t="n"/>
      <c r="S348" s="16" t="n"/>
      <c r="T348" s="16" t="n"/>
      <c r="U348" s="16" t="n"/>
      <c r="V348" s="16" t="n"/>
      <c r="W348" s="16" t="n"/>
      <c r="X348" s="16" t="n"/>
      <c r="Y348" s="16" t="n"/>
      <c r="Z348" s="16" t="n"/>
      <c r="AA348" s="4" t="n"/>
      <c r="AB348" s="4" t="n"/>
      <c r="AC348" s="4" t="n"/>
      <c r="AD348" s="4">
        <f>AA348+AB348</f>
        <v/>
      </c>
      <c r="AE348" s="13">
        <f>IF(AD348&lt;=AT348,"库存不足",IF(AD348&gt;=AT348*1.5,"库存预警","库存正常"))</f>
        <v/>
      </c>
      <c r="AF348" s="4">
        <f>MAX(AT348-AA348-AB348,0)</f>
        <v/>
      </c>
      <c r="AG348" s="4">
        <f>MAX(X348-AD348,0)</f>
        <v/>
      </c>
      <c r="AH348" s="4">
        <f>AF348-AG348</f>
        <v/>
      </c>
      <c r="AI348" s="14">
        <f>AX348+(AA348+AB348)/AR348-60</f>
        <v/>
      </c>
      <c r="AJ348" s="16" t="n"/>
      <c r="AK348" s="16" t="n"/>
      <c r="AL348" s="16" t="n"/>
      <c r="AM348" s="16" t="n"/>
      <c r="AN348" s="15" t="n"/>
      <c r="AO348" s="4">
        <f>ROUND(AK348/7,0)</f>
        <v/>
      </c>
      <c r="AP348" s="4">
        <f>ROUND(AL348/15,0)</f>
        <v/>
      </c>
      <c r="AQ348" s="4">
        <f>ROUND(AM348/30,0)</f>
        <v/>
      </c>
      <c r="AR348" s="4" t="n"/>
      <c r="AS348" s="16" t="n"/>
      <c r="AT348" s="16" t="n"/>
      <c r="AU348" s="37" t="n"/>
      <c r="AV348" s="16" t="n"/>
      <c r="AW348" s="16" t="n"/>
      <c r="AX348" s="14">
        <f>TODAY()</f>
        <v/>
      </c>
      <c r="AY348" s="16" t="n"/>
      <c r="AZ348" s="16" t="n"/>
      <c r="BA348" s="16" t="n"/>
      <c r="BB348" s="16" t="n"/>
      <c r="BC348" s="16" t="n"/>
    </row>
    <row r="349" ht="14.25" customHeight="1" s="31">
      <c r="A349" s="28" t="n"/>
      <c r="B349" s="23" t="n"/>
      <c r="C349" s="28" t="n"/>
      <c r="D349" s="23" t="n"/>
      <c r="E349" s="23" t="n"/>
      <c r="F349" s="23" t="n"/>
      <c r="G349" s="23" t="n"/>
      <c r="H349" s="23" t="n"/>
      <c r="I349" s="23" t="n"/>
      <c r="J349" s="23" t="n"/>
      <c r="K349" s="23" t="n"/>
      <c r="L349" s="23" t="n"/>
      <c r="M349" s="23" t="n"/>
      <c r="N349" s="23" t="n"/>
      <c r="O349" s="23" t="n"/>
      <c r="P349" s="23" t="n"/>
      <c r="Q349" s="25">
        <f>ROUND((L349*M349*N349)/1000000,3)</f>
        <v/>
      </c>
      <c r="R349" s="23" t="n"/>
      <c r="S349" s="16" t="n"/>
      <c r="T349" s="16" t="n"/>
      <c r="U349" s="16" t="n"/>
      <c r="V349" s="16" t="n"/>
      <c r="W349" s="16" t="n"/>
      <c r="X349" s="16" t="n"/>
      <c r="Y349" s="16" t="n"/>
      <c r="Z349" s="16" t="n"/>
      <c r="AA349" s="4" t="n"/>
      <c r="AB349" s="4" t="n"/>
      <c r="AC349" s="4" t="n"/>
      <c r="AD349" s="4">
        <f>AA349+AB349</f>
        <v/>
      </c>
      <c r="AE349" s="13">
        <f>IF(AD349&lt;=AT349,"库存不足",IF(AD349&gt;=AT349*1.5,"库存预警","库存正常"))</f>
        <v/>
      </c>
      <c r="AF349" s="4">
        <f>MAX(AT349-AA349-AB349,0)</f>
        <v/>
      </c>
      <c r="AG349" s="4">
        <f>MAX(X349-AD349,0)</f>
        <v/>
      </c>
      <c r="AH349" s="4">
        <f>AF349-AG349</f>
        <v/>
      </c>
      <c r="AI349" s="14">
        <f>AX349+(AA349+AB349)/AR349-60</f>
        <v/>
      </c>
      <c r="AJ349" s="16" t="n"/>
      <c r="AK349" s="16" t="n"/>
      <c r="AL349" s="16" t="n"/>
      <c r="AM349" s="16" t="n"/>
      <c r="AN349" s="15" t="n"/>
      <c r="AO349" s="4">
        <f>ROUND(AK349/7,0)</f>
        <v/>
      </c>
      <c r="AP349" s="4">
        <f>ROUND(AL349/15,0)</f>
        <v/>
      </c>
      <c r="AQ349" s="4">
        <f>ROUND(AM349/30,0)</f>
        <v/>
      </c>
      <c r="AR349" s="4" t="n"/>
      <c r="AS349" s="16" t="n"/>
      <c r="AT349" s="16" t="n"/>
      <c r="AU349" s="37" t="n"/>
      <c r="AV349" s="16" t="n"/>
      <c r="AW349" s="16" t="n"/>
      <c r="AX349" s="14">
        <f>TODAY()</f>
        <v/>
      </c>
      <c r="AY349" s="16" t="n"/>
      <c r="AZ349" s="16" t="n"/>
      <c r="BA349" s="16" t="n"/>
      <c r="BB349" s="16" t="n"/>
      <c r="BC349" s="16" t="n"/>
    </row>
    <row r="350" ht="14.25" customHeight="1" s="31">
      <c r="A350" s="28" t="n"/>
      <c r="B350" s="23" t="n"/>
      <c r="C350" s="28" t="n"/>
      <c r="D350" s="23" t="n"/>
      <c r="E350" s="23" t="n"/>
      <c r="F350" s="23" t="n"/>
      <c r="G350" s="23" t="n"/>
      <c r="H350" s="23" t="n"/>
      <c r="I350" s="23" t="n"/>
      <c r="J350" s="23" t="n"/>
      <c r="K350" s="23" t="n"/>
      <c r="L350" s="23" t="n"/>
      <c r="M350" s="23" t="n"/>
      <c r="N350" s="23" t="n"/>
      <c r="O350" s="23" t="n"/>
      <c r="P350" s="23" t="n"/>
      <c r="Q350" s="25">
        <f>ROUND((L350*M350*N350)/1000000,3)</f>
        <v/>
      </c>
      <c r="R350" s="23" t="n"/>
      <c r="S350" s="16" t="n"/>
      <c r="T350" s="16" t="n"/>
      <c r="U350" s="16" t="n"/>
      <c r="V350" s="16" t="n"/>
      <c r="W350" s="16" t="n"/>
      <c r="X350" s="16" t="n"/>
      <c r="Y350" s="16" t="n"/>
      <c r="Z350" s="16" t="n"/>
      <c r="AA350" s="4" t="n"/>
      <c r="AB350" s="4" t="n"/>
      <c r="AC350" s="4" t="n"/>
      <c r="AD350" s="4">
        <f>AA350+AB350</f>
        <v/>
      </c>
      <c r="AE350" s="13">
        <f>IF(AD350&lt;=AT350,"库存不足",IF(AD350&gt;=AT350*1.5,"库存预警","库存正常"))</f>
        <v/>
      </c>
      <c r="AF350" s="4">
        <f>MAX(AT350-AA350-AB350,0)</f>
        <v/>
      </c>
      <c r="AG350" s="4">
        <f>MAX(X350-AD350,0)</f>
        <v/>
      </c>
      <c r="AH350" s="4">
        <f>AF350-AG350</f>
        <v/>
      </c>
      <c r="AI350" s="14">
        <f>AX350+(AA350+AB350)/AR350-60</f>
        <v/>
      </c>
      <c r="AJ350" s="16" t="n"/>
      <c r="AK350" s="16" t="n"/>
      <c r="AL350" s="16" t="n"/>
      <c r="AM350" s="16" t="n"/>
      <c r="AN350" s="15" t="n"/>
      <c r="AO350" s="4">
        <f>ROUND(AK350/7,0)</f>
        <v/>
      </c>
      <c r="AP350" s="4">
        <f>ROUND(AL350/15,0)</f>
        <v/>
      </c>
      <c r="AQ350" s="4">
        <f>ROUND(AM350/30,0)</f>
        <v/>
      </c>
      <c r="AR350" s="4" t="n"/>
      <c r="AS350" s="16" t="n"/>
      <c r="AT350" s="16" t="n"/>
      <c r="AU350" s="37" t="n"/>
      <c r="AV350" s="16" t="n"/>
      <c r="AW350" s="16" t="n"/>
      <c r="AX350" s="14">
        <f>TODAY()</f>
        <v/>
      </c>
      <c r="AY350" s="16" t="n"/>
      <c r="AZ350" s="16" t="n"/>
      <c r="BA350" s="16" t="n"/>
      <c r="BB350" s="16" t="n"/>
      <c r="BC350" s="16" t="n"/>
    </row>
    <row r="351">
      <c r="A351" s="23" t="n"/>
      <c r="B351" s="23" t="n"/>
      <c r="C351" s="23" t="n"/>
      <c r="D351" s="23" t="n"/>
      <c r="E351" s="23" t="n"/>
      <c r="F351" s="23" t="n"/>
      <c r="G351" s="23" t="n"/>
      <c r="H351" s="23" t="n"/>
      <c r="I351" s="23" t="n"/>
      <c r="J351" s="23" t="n"/>
      <c r="K351" s="23" t="n"/>
      <c r="L351" s="23" t="n"/>
      <c r="M351" s="23" t="n"/>
      <c r="N351" s="23" t="n"/>
      <c r="O351" s="23" t="n"/>
      <c r="P351" s="23" t="n"/>
      <c r="Q351" s="23">
        <f>ROUND((L351*M351*N351)/1000000,3)</f>
        <v/>
      </c>
      <c r="R351" s="23" t="n"/>
      <c r="S351" s="16" t="n"/>
      <c r="T351" s="16" t="n"/>
      <c r="U351" s="16" t="n"/>
      <c r="V351" s="16" t="n"/>
      <c r="W351" s="16" t="n"/>
      <c r="X351" s="4">
        <f>AR351*(W351+35+10)</f>
        <v/>
      </c>
      <c r="Y351" s="4">
        <f>AR351*(W351+35+10+45)</f>
        <v/>
      </c>
      <c r="Z351" s="4">
        <f>AA351+AB351+AC351</f>
        <v/>
      </c>
      <c r="AA351" s="4" t="n"/>
      <c r="AB351" s="4" t="n"/>
      <c r="AC351" s="4" t="n"/>
      <c r="AD351" s="4">
        <f>AA351+AB351</f>
        <v/>
      </c>
      <c r="AE351" s="13">
        <f>IF(AD351&lt;=AT351,"库存不足",IF(AD351&gt;=AT351*1.5,"库存预警","库存正常"))</f>
        <v/>
      </c>
      <c r="AF351" s="4">
        <f>MAX(AT351-AA351-AB351,0)</f>
        <v/>
      </c>
      <c r="AG351" s="4">
        <f>MAX(X351-AD351,0)</f>
        <v/>
      </c>
      <c r="AH351" s="4">
        <f>AF351-AG351</f>
        <v/>
      </c>
      <c r="AI351" s="14">
        <f>AX351+(AA351+AB351)/AR351-60</f>
        <v/>
      </c>
      <c r="AJ351" s="16" t="n"/>
      <c r="AK351" s="15" t="n"/>
      <c r="AL351" s="15" t="n"/>
      <c r="AM351" s="15" t="n"/>
      <c r="AN351" s="15" t="n"/>
      <c r="AO351" s="4">
        <f>ROUND(AK351/7,0)</f>
        <v/>
      </c>
      <c r="AP351" s="4">
        <f>ROUND(AL351/15,0)</f>
        <v/>
      </c>
      <c r="AQ351" s="4">
        <f>ROUND(AM351/30,0)</f>
        <v/>
      </c>
      <c r="AR351" s="4" t="n"/>
      <c r="AS351" s="16" t="n"/>
      <c r="AT351" s="16" t="n"/>
      <c r="AU351" s="16" t="n"/>
      <c r="AV351" s="16" t="n"/>
      <c r="AW351" s="16" t="n"/>
      <c r="AX351" s="14">
        <f>TODAY()</f>
        <v/>
      </c>
      <c r="AY351" s="16" t="n"/>
      <c r="AZ351" s="16" t="n"/>
      <c r="BA351" s="16" t="n"/>
      <c r="BB351" s="16" t="n"/>
      <c r="BC351" s="16" t="n"/>
    </row>
    <row r="352">
      <c r="A352" s="23" t="n"/>
      <c r="B352" s="23" t="n"/>
      <c r="C352" s="23" t="n"/>
      <c r="D352" s="23" t="n"/>
      <c r="E352" s="23" t="n"/>
      <c r="F352" s="23" t="n"/>
      <c r="G352" s="23" t="n"/>
      <c r="H352" s="23" t="n"/>
      <c r="I352" s="23" t="n"/>
      <c r="J352" s="23" t="n"/>
      <c r="K352" s="23" t="n"/>
      <c r="L352" s="23" t="n"/>
      <c r="M352" s="23" t="n"/>
      <c r="N352" s="23" t="n"/>
      <c r="O352" s="23" t="n"/>
      <c r="P352" s="23" t="n"/>
      <c r="Q352" s="23">
        <f>ROUND((L352*M352*N352)/1000000,3)</f>
        <v/>
      </c>
      <c r="R352" s="23" t="n"/>
      <c r="S352" s="16" t="n"/>
      <c r="T352" s="16" t="n"/>
      <c r="U352" s="16" t="n"/>
      <c r="V352" s="16" t="n"/>
      <c r="W352" s="16" t="n"/>
      <c r="X352" s="4">
        <f>AR352*(W352+35+10)</f>
        <v/>
      </c>
      <c r="Y352" s="4">
        <f>AR352*(W352+35+10+45)</f>
        <v/>
      </c>
      <c r="Z352" s="4">
        <f>AA352+AB352+AC352</f>
        <v/>
      </c>
      <c r="AA352" s="4" t="n"/>
      <c r="AB352" s="4" t="n"/>
      <c r="AC352" s="4" t="n"/>
      <c r="AD352" s="4">
        <f>AA352+AB352</f>
        <v/>
      </c>
      <c r="AE352" s="13">
        <f>IF(AD352&lt;=AT352,"库存不足",IF(AD352&gt;=AT352*1.5,"库存预警","库存正常"))</f>
        <v/>
      </c>
      <c r="AF352" s="4">
        <f>MAX(AT352-AA352-AB352,0)</f>
        <v/>
      </c>
      <c r="AG352" s="4">
        <f>MAX(X352-AD352,0)</f>
        <v/>
      </c>
      <c r="AH352" s="4">
        <f>AF352-AG352</f>
        <v/>
      </c>
      <c r="AI352" s="14">
        <f>AX352+(AA352+AB352)/AR352-60</f>
        <v/>
      </c>
      <c r="AJ352" s="16" t="n"/>
      <c r="AK352" s="16" t="n"/>
      <c r="AL352" s="16" t="n"/>
      <c r="AM352" s="16" t="n"/>
      <c r="AN352" s="15" t="n"/>
      <c r="AO352" s="4">
        <f>ROUND(AK352/7,0)</f>
        <v/>
      </c>
      <c r="AP352" s="4">
        <f>ROUND(AL352/15,0)</f>
        <v/>
      </c>
      <c r="AQ352" s="4">
        <f>ROUND(AM352/30,0)</f>
        <v/>
      </c>
      <c r="AR352" s="4" t="n"/>
      <c r="AS352" s="16" t="n"/>
      <c r="AT352" s="16" t="n"/>
      <c r="AU352" s="16" t="n"/>
      <c r="AV352" s="16" t="n"/>
      <c r="AW352" s="16" t="n"/>
      <c r="AX352" s="14">
        <f>TODAY()</f>
        <v/>
      </c>
      <c r="AY352" s="16" t="n"/>
      <c r="AZ352" s="16" t="n"/>
      <c r="BA352" s="16" t="n"/>
      <c r="BB352" s="16" t="n"/>
      <c r="BC352" s="16" t="n"/>
    </row>
    <row r="353" ht="14.25" customHeight="1" s="31">
      <c r="A353" s="23" t="n"/>
      <c r="B353" s="23" t="n"/>
      <c r="C353" s="23" t="n"/>
      <c r="D353" s="23" t="n"/>
      <c r="E353" s="23" t="n"/>
      <c r="F353" s="23" t="n"/>
      <c r="G353" s="23" t="n"/>
      <c r="H353" s="23" t="n"/>
      <c r="I353" s="23" t="n"/>
      <c r="J353" s="23" t="n"/>
      <c r="K353" s="23" t="n"/>
      <c r="L353" s="23" t="n"/>
      <c r="M353" s="23" t="n"/>
      <c r="N353" s="23" t="n"/>
      <c r="O353" s="23" t="n"/>
      <c r="P353" s="23" t="n"/>
      <c r="Q353" s="25">
        <f>ROUND((L353*M353*N353)/1000000,3)</f>
        <v/>
      </c>
      <c r="R353" s="23" t="n"/>
      <c r="S353" s="16" t="n"/>
      <c r="T353" s="16" t="n"/>
      <c r="U353" s="16" t="n"/>
      <c r="V353" s="16" t="n"/>
      <c r="W353" s="16" t="n"/>
      <c r="X353" s="4">
        <f>AR353*(W353+35+10)</f>
        <v/>
      </c>
      <c r="Y353" s="4">
        <f>AR353*(W353+35+10+45)</f>
        <v/>
      </c>
      <c r="Z353" s="4">
        <f>AA353+AB353+AC353</f>
        <v/>
      </c>
      <c r="AA353" s="4" t="n"/>
      <c r="AB353" s="4" t="n"/>
      <c r="AC353" s="4" t="n"/>
      <c r="AD353" s="4">
        <f>AA353+AB353</f>
        <v/>
      </c>
      <c r="AE353" s="13">
        <f>IF(AD353&lt;=AT353,"库存不足",IF(AD353&gt;=AT353*1.5,"库存预警","库存正常"))</f>
        <v/>
      </c>
      <c r="AF353" s="4">
        <f>MAX(AT353-AA353-AB353,0)</f>
        <v/>
      </c>
      <c r="AG353" s="4">
        <f>MAX(X353-AD353,0)</f>
        <v/>
      </c>
      <c r="AH353" s="4">
        <f>AF353-AG353</f>
        <v/>
      </c>
      <c r="AI353" s="14">
        <f>AX353+(AA353+AB353)/AR353-60</f>
        <v/>
      </c>
      <c r="AJ353" s="16" t="n"/>
      <c r="AK353" s="15" t="n"/>
      <c r="AL353" s="15" t="n"/>
      <c r="AM353" s="15" t="n"/>
      <c r="AN353" s="15" t="n"/>
      <c r="AO353" s="4">
        <f>ROUND(AK353/7,0)</f>
        <v/>
      </c>
      <c r="AP353" s="4">
        <f>ROUND(AL353/15,0)</f>
        <v/>
      </c>
      <c r="AQ353" s="4">
        <f>ROUND(AM353/30,0)</f>
        <v/>
      </c>
      <c r="AR353" s="4" t="n"/>
      <c r="AS353" s="16" t="n"/>
      <c r="AT353" s="16" t="n"/>
      <c r="AU353" s="16" t="n"/>
      <c r="AV353" s="16" t="n"/>
      <c r="AW353" s="16" t="n"/>
      <c r="AX353" s="14">
        <f>TODAY()</f>
        <v/>
      </c>
      <c r="AY353" s="16" t="n"/>
      <c r="AZ353" s="16" t="n"/>
      <c r="BA353" s="16" t="n"/>
      <c r="BB353" s="16" t="n"/>
      <c r="BC353" s="16" t="n"/>
    </row>
    <row r="354" ht="14.25" customHeight="1" s="31">
      <c r="A354" s="23" t="n"/>
      <c r="B354" s="23" t="n"/>
      <c r="C354" s="23" t="n"/>
      <c r="D354" s="23" t="n"/>
      <c r="E354" s="23" t="n"/>
      <c r="F354" s="23" t="n"/>
      <c r="G354" s="23" t="n"/>
      <c r="H354" s="23" t="n"/>
      <c r="I354" s="23" t="n"/>
      <c r="J354" s="23" t="n"/>
      <c r="K354" s="23" t="n"/>
      <c r="L354" s="23" t="n"/>
      <c r="M354" s="23" t="n"/>
      <c r="N354" s="23" t="n"/>
      <c r="O354" s="23" t="n"/>
      <c r="P354" s="23" t="n"/>
      <c r="Q354" s="25">
        <f>ROUND((L354*M354*N354)/1000000,3)</f>
        <v/>
      </c>
      <c r="R354" s="23" t="n"/>
      <c r="S354" s="16" t="n"/>
      <c r="T354" s="16" t="n"/>
      <c r="U354" s="16" t="n"/>
      <c r="V354" s="16" t="n"/>
      <c r="W354" s="16" t="n"/>
      <c r="X354" s="4">
        <f>AR354*(W354+35+10)</f>
        <v/>
      </c>
      <c r="Y354" s="4">
        <f>AR354*(W354+35+10+45)</f>
        <v/>
      </c>
      <c r="Z354" s="4">
        <f>AA354+AB354+AC354</f>
        <v/>
      </c>
      <c r="AA354" s="4" t="n"/>
      <c r="AB354" s="4" t="n"/>
      <c r="AC354" s="4" t="n"/>
      <c r="AD354" s="4">
        <f>AA354+AB354</f>
        <v/>
      </c>
      <c r="AE354" s="13">
        <f>IF(AD354&lt;=AT354,"库存不足",IF(AD354&gt;=AT354*1.5,"库存预警","库存正常"))</f>
        <v/>
      </c>
      <c r="AF354" s="4">
        <f>MAX(AT354-AA354-AB354,0)</f>
        <v/>
      </c>
      <c r="AG354" s="4">
        <f>MAX(X354-AD354,0)</f>
        <v/>
      </c>
      <c r="AH354" s="4">
        <f>AF354-AG354</f>
        <v/>
      </c>
      <c r="AI354" s="14">
        <f>AX354+(AA354+AB354)/AR354-60</f>
        <v/>
      </c>
      <c r="AJ354" s="16" t="n"/>
      <c r="AK354" s="15" t="n"/>
      <c r="AL354" s="15" t="n"/>
      <c r="AM354" s="15" t="n"/>
      <c r="AN354" s="15" t="n"/>
      <c r="AO354" s="4">
        <f>ROUND(AK354/7,0)</f>
        <v/>
      </c>
      <c r="AP354" s="4">
        <f>ROUND(AL354/15,0)</f>
        <v/>
      </c>
      <c r="AQ354" s="4">
        <f>ROUND(AM354/30,0)</f>
        <v/>
      </c>
      <c r="AR354" s="4" t="n"/>
      <c r="AS354" s="16" t="n"/>
      <c r="AT354" s="16" t="n"/>
      <c r="AU354" s="16" t="n"/>
      <c r="AV354" s="16" t="n"/>
      <c r="AW354" s="16" t="n"/>
      <c r="AX354" s="14">
        <f>TODAY()</f>
        <v/>
      </c>
      <c r="AY354" s="16" t="n"/>
      <c r="AZ354" s="16" t="n"/>
      <c r="BA354" s="16" t="n"/>
      <c r="BB354" s="16" t="n"/>
      <c r="BC354" s="16" t="n"/>
    </row>
    <row r="355" ht="14.25" customHeight="1" s="31">
      <c r="A355" s="23" t="n"/>
      <c r="B355" s="23" t="n"/>
      <c r="C355" s="23" t="n"/>
      <c r="D355" s="23" t="n"/>
      <c r="E355" s="23" t="n"/>
      <c r="F355" s="23" t="n"/>
      <c r="G355" s="23" t="n"/>
      <c r="H355" s="23" t="n"/>
      <c r="I355" s="23" t="n"/>
      <c r="J355" s="23" t="n"/>
      <c r="K355" s="23" t="n"/>
      <c r="L355" s="23" t="n"/>
      <c r="M355" s="23" t="n"/>
      <c r="N355" s="23" t="n"/>
      <c r="O355" s="23" t="n"/>
      <c r="P355" s="23" t="n"/>
      <c r="Q355" s="25">
        <f>ROUND((L355*M355*N355)/1000000,3)</f>
        <v/>
      </c>
      <c r="R355" s="23" t="n"/>
      <c r="S355" s="16" t="n"/>
      <c r="T355" s="16" t="n"/>
      <c r="U355" s="16" t="n"/>
      <c r="V355" s="16" t="n"/>
      <c r="W355" s="16" t="n"/>
      <c r="X355" s="16" t="n"/>
      <c r="Y355" s="16" t="n"/>
      <c r="Z355" s="16" t="n"/>
      <c r="AA355" s="4" t="n"/>
      <c r="AB355" s="4" t="n"/>
      <c r="AC355" s="4" t="n"/>
      <c r="AD355" s="4">
        <f>AA355+AB355</f>
        <v/>
      </c>
      <c r="AE355" s="13">
        <f>IF(AD355&lt;=AT355,"库存不足",IF(AD355&gt;=AT355*1.5,"库存预警","库存正常"))</f>
        <v/>
      </c>
      <c r="AF355" s="4">
        <f>MAX(AT355-AA355-AB355,0)</f>
        <v/>
      </c>
      <c r="AG355" s="4">
        <f>MAX(X355-AD355,0)</f>
        <v/>
      </c>
      <c r="AH355" s="4">
        <f>AF355-AG355</f>
        <v/>
      </c>
      <c r="AI355" s="14">
        <f>AX355+(AA355+AB355)/AR355-60</f>
        <v/>
      </c>
      <c r="AJ355" s="16" t="n"/>
      <c r="AK355" s="16" t="n"/>
      <c r="AL355" s="16" t="n"/>
      <c r="AM355" s="16" t="n"/>
      <c r="AN355" s="15" t="n"/>
      <c r="AO355" s="4">
        <f>ROUND(AK355/7,0)</f>
        <v/>
      </c>
      <c r="AP355" s="4">
        <f>ROUND(AL355/15,0)</f>
        <v/>
      </c>
      <c r="AQ355" s="4">
        <f>ROUND(AM355/30,0)</f>
        <v/>
      </c>
      <c r="AR355" s="4" t="n"/>
      <c r="AS355" s="16" t="n"/>
      <c r="AT355" s="16" t="n"/>
      <c r="AU355" s="37" t="n"/>
      <c r="AV355" s="16" t="n"/>
      <c r="AW355" s="16" t="n"/>
      <c r="AX355" s="14">
        <f>TODAY()</f>
        <v/>
      </c>
      <c r="AY355" s="16" t="n"/>
      <c r="AZ355" s="16" t="n"/>
      <c r="BA355" s="16" t="n"/>
      <c r="BB355" s="16" t="n"/>
      <c r="BC355" s="16" t="n"/>
    </row>
    <row r="356" ht="14.25" customHeight="1" s="31">
      <c r="A356" s="23" t="n"/>
      <c r="B356" s="23" t="n"/>
      <c r="C356" s="23" t="n"/>
      <c r="D356" s="23" t="n"/>
      <c r="E356" s="23" t="n"/>
      <c r="F356" s="23" t="n"/>
      <c r="G356" s="23" t="n"/>
      <c r="H356" s="23" t="n"/>
      <c r="I356" s="23" t="n"/>
      <c r="J356" s="23" t="n"/>
      <c r="K356" s="23" t="n"/>
      <c r="L356" s="23" t="n"/>
      <c r="M356" s="23" t="n"/>
      <c r="N356" s="23" t="n"/>
      <c r="O356" s="23" t="n"/>
      <c r="P356" s="23" t="n"/>
      <c r="Q356" s="25">
        <f>ROUND((L356*M356*N356)/1000000,3)</f>
        <v/>
      </c>
      <c r="R356" s="23" t="n"/>
      <c r="S356" s="16" t="n"/>
      <c r="T356" s="16" t="n"/>
      <c r="U356" s="16" t="n"/>
      <c r="V356" s="16" t="n"/>
      <c r="W356" s="16" t="n"/>
      <c r="X356" s="16" t="n"/>
      <c r="Y356" s="16" t="n"/>
      <c r="Z356" s="16" t="n"/>
      <c r="AA356" s="4" t="n"/>
      <c r="AB356" s="4" t="n"/>
      <c r="AC356" s="4" t="n"/>
      <c r="AD356" s="4">
        <f>AA356+AB356</f>
        <v/>
      </c>
      <c r="AE356" s="13">
        <f>IF(AD356&lt;=AT356,"库存不足",IF(AD356&gt;=AT356*1.5,"库存预警","库存正常"))</f>
        <v/>
      </c>
      <c r="AF356" s="4">
        <f>MAX(AT356-AA356-AB356,0)</f>
        <v/>
      </c>
      <c r="AG356" s="4">
        <f>MAX(X356-AD356,0)</f>
        <v/>
      </c>
      <c r="AH356" s="4">
        <f>AF356-AG356</f>
        <v/>
      </c>
      <c r="AI356" s="14">
        <f>AX356+(AA356+AB356)/AR356-60</f>
        <v/>
      </c>
      <c r="AJ356" s="16" t="n"/>
      <c r="AK356" s="16" t="n"/>
      <c r="AL356" s="16" t="n"/>
      <c r="AM356" s="16" t="n"/>
      <c r="AN356" s="15" t="n"/>
      <c r="AO356" s="4">
        <f>ROUND(AK356/7,0)</f>
        <v/>
      </c>
      <c r="AP356" s="4">
        <f>ROUND(AL356/15,0)</f>
        <v/>
      </c>
      <c r="AQ356" s="4">
        <f>ROUND(AM356/30,0)</f>
        <v/>
      </c>
      <c r="AR356" s="4" t="n"/>
      <c r="AS356" s="16" t="n"/>
      <c r="AT356" s="16" t="n"/>
      <c r="AU356" s="37" t="n"/>
      <c r="AV356" s="16" t="n"/>
      <c r="AW356" s="16" t="n"/>
      <c r="AX356" s="14">
        <f>TODAY()</f>
        <v/>
      </c>
      <c r="AY356" s="16" t="n"/>
      <c r="AZ356" s="16" t="n"/>
      <c r="BA356" s="16" t="n"/>
      <c r="BB356" s="16" t="n"/>
      <c r="BC356" s="16" t="n"/>
    </row>
    <row r="357" ht="14.25" customHeight="1" s="31">
      <c r="A357" s="23" t="n"/>
      <c r="B357" s="23" t="n"/>
      <c r="C357" s="23" t="n"/>
      <c r="D357" s="23" t="n"/>
      <c r="E357" s="23" t="n"/>
      <c r="F357" s="23" t="n"/>
      <c r="G357" s="23" t="n"/>
      <c r="H357" s="23" t="n"/>
      <c r="I357" s="23" t="n"/>
      <c r="J357" s="23" t="n"/>
      <c r="K357" s="23" t="n"/>
      <c r="L357" s="23" t="n"/>
      <c r="M357" s="23" t="n"/>
      <c r="N357" s="23" t="n"/>
      <c r="O357" s="23" t="n"/>
      <c r="P357" s="23" t="n"/>
      <c r="Q357" s="25">
        <f>ROUND((L357*M357*N357)/1000000,3)</f>
        <v/>
      </c>
      <c r="R357" s="23" t="n"/>
      <c r="S357" s="16" t="n"/>
      <c r="T357" s="16" t="n"/>
      <c r="U357" s="16" t="n"/>
      <c r="V357" s="16" t="n"/>
      <c r="W357" s="16" t="n"/>
      <c r="X357" s="16" t="n"/>
      <c r="Y357" s="16" t="n"/>
      <c r="Z357" s="16" t="n"/>
      <c r="AA357" s="4" t="n"/>
      <c r="AB357" s="4" t="n"/>
      <c r="AC357" s="4" t="n"/>
      <c r="AD357" s="4">
        <f>AA357+AB357</f>
        <v/>
      </c>
      <c r="AE357" s="13">
        <f>IF(AD357&lt;=AT357,"库存不足",IF(AD357&gt;=AT357*1.5,"库存预警","库存正常"))</f>
        <v/>
      </c>
      <c r="AF357" s="4">
        <f>MAX(AT357-AA357-AB357,0)</f>
        <v/>
      </c>
      <c r="AG357" s="4">
        <f>MAX(X357-AD357,0)</f>
        <v/>
      </c>
      <c r="AH357" s="4">
        <f>AF357-AG357</f>
        <v/>
      </c>
      <c r="AI357" s="14">
        <f>AX357+(AA357+AB357)/AR357-60</f>
        <v/>
      </c>
      <c r="AJ357" s="16" t="n"/>
      <c r="AK357" s="16" t="n"/>
      <c r="AL357" s="16" t="n"/>
      <c r="AM357" s="16" t="n"/>
      <c r="AN357" s="15" t="n"/>
      <c r="AO357" s="4">
        <f>ROUND(AK357/7,0)</f>
        <v/>
      </c>
      <c r="AP357" s="4">
        <f>ROUND(AL357/15,0)</f>
        <v/>
      </c>
      <c r="AQ357" s="4">
        <f>ROUND(AM357/30,0)</f>
        <v/>
      </c>
      <c r="AR357" s="4" t="n"/>
      <c r="AS357" s="16" t="n"/>
      <c r="AT357" s="16" t="n"/>
      <c r="AU357" s="37" t="n"/>
      <c r="AV357" s="16" t="n"/>
      <c r="AW357" s="16" t="n"/>
      <c r="AX357" s="14">
        <f>TODAY()</f>
        <v/>
      </c>
      <c r="AY357" s="16" t="n"/>
      <c r="AZ357" s="16" t="n"/>
      <c r="BA357" s="16" t="n"/>
      <c r="BB357" s="16" t="n"/>
      <c r="BC357" s="16" t="n"/>
    </row>
    <row r="358" ht="14.25" customHeight="1" s="31">
      <c r="A358" s="23" t="n"/>
      <c r="B358" s="23" t="n"/>
      <c r="C358" s="23" t="n"/>
      <c r="D358" s="23" t="n"/>
      <c r="E358" s="23" t="n"/>
      <c r="F358" s="23" t="n"/>
      <c r="G358" s="23" t="n"/>
      <c r="H358" s="23" t="n"/>
      <c r="I358" s="23" t="n"/>
      <c r="J358" s="23" t="n"/>
      <c r="K358" s="23" t="n"/>
      <c r="L358" s="23" t="n"/>
      <c r="M358" s="23" t="n"/>
      <c r="N358" s="23" t="n"/>
      <c r="O358" s="23" t="n"/>
      <c r="P358" s="23" t="n"/>
      <c r="Q358" s="25">
        <f>ROUND((L358*M358*N358)/1000000,3)</f>
        <v/>
      </c>
      <c r="R358" s="23" t="n"/>
      <c r="S358" s="16" t="n"/>
      <c r="T358" s="16" t="n"/>
      <c r="U358" s="16" t="n"/>
      <c r="V358" s="16" t="n"/>
      <c r="W358" s="16" t="n"/>
      <c r="X358" s="16" t="n"/>
      <c r="Y358" s="16" t="n"/>
      <c r="Z358" s="16" t="n"/>
      <c r="AA358" s="4" t="n"/>
      <c r="AB358" s="4" t="n"/>
      <c r="AC358" s="4" t="n"/>
      <c r="AD358" s="4">
        <f>AA358+AB358</f>
        <v/>
      </c>
      <c r="AE358" s="13">
        <f>IF(AD358&lt;=AT358,"库存不足",IF(AD358&gt;=AT358*1.5,"库存预警","库存正常"))</f>
        <v/>
      </c>
      <c r="AF358" s="4">
        <f>MAX(AT358-AA358-AB358,0)</f>
        <v/>
      </c>
      <c r="AG358" s="4">
        <f>MAX(X358-AD358,0)</f>
        <v/>
      </c>
      <c r="AH358" s="4">
        <f>AF358-AG358</f>
        <v/>
      </c>
      <c r="AI358" s="14">
        <f>AX358+(AA358+AB358)/AR358-60</f>
        <v/>
      </c>
      <c r="AJ358" s="16" t="n"/>
      <c r="AK358" s="16" t="n"/>
      <c r="AL358" s="16" t="n"/>
      <c r="AM358" s="16" t="n"/>
      <c r="AN358" s="15" t="n"/>
      <c r="AO358" s="4">
        <f>ROUND(AK358/7,0)</f>
        <v/>
      </c>
      <c r="AP358" s="4">
        <f>ROUND(AL358/15,0)</f>
        <v/>
      </c>
      <c r="AQ358" s="4">
        <f>ROUND(AM358/30,0)</f>
        <v/>
      </c>
      <c r="AR358" s="4" t="n"/>
      <c r="AS358" s="16" t="n"/>
      <c r="AT358" s="16" t="n"/>
      <c r="AU358" s="37" t="n"/>
      <c r="AV358" s="16" t="n"/>
      <c r="AW358" s="16" t="n"/>
      <c r="AX358" s="14">
        <f>TODAY()</f>
        <v/>
      </c>
      <c r="AY358" s="16" t="n"/>
      <c r="AZ358" s="16" t="n"/>
      <c r="BA358" s="16" t="n"/>
      <c r="BB358" s="16" t="n"/>
      <c r="BC358" s="16" t="n"/>
    </row>
    <row r="359">
      <c r="A359" s="28" t="n"/>
      <c r="B359" s="28" t="n"/>
      <c r="C359" s="28" t="n"/>
      <c r="D359" s="28" t="n"/>
      <c r="E359" s="28" t="n"/>
      <c r="F359" s="28" t="n"/>
      <c r="G359" s="28" t="n"/>
      <c r="H359" s="28" t="n"/>
      <c r="I359" s="28" t="n"/>
      <c r="J359" s="28" t="n"/>
      <c r="K359" s="28" t="n"/>
      <c r="L359" s="28" t="n"/>
      <c r="M359" s="28" t="n"/>
      <c r="N359" s="28" t="n"/>
      <c r="O359" s="28" t="n"/>
      <c r="P359" s="28" t="n"/>
      <c r="Q359" s="28">
        <f>L359*M359*N359/1000000</f>
        <v/>
      </c>
      <c r="R359" s="28" t="n"/>
      <c r="S359" s="28" t="n"/>
      <c r="T359" s="16" t="n"/>
      <c r="U359" s="16" t="n"/>
      <c r="V359" s="16" t="n"/>
      <c r="W359" s="4" t="n"/>
      <c r="X359" s="4">
        <f>AR359*(W359+35+10)</f>
        <v/>
      </c>
      <c r="Y359" s="4">
        <f>AR359*(W359+35+10+45)</f>
        <v/>
      </c>
      <c r="Z359" s="4">
        <f>AA359+AB359+AC359</f>
        <v/>
      </c>
      <c r="AA359" s="4" t="n"/>
      <c r="AB359" s="4" t="n"/>
      <c r="AC359" s="4" t="n"/>
      <c r="AD359" s="4">
        <f>AA359+AB359</f>
        <v/>
      </c>
      <c r="AE359" s="13">
        <f>IF(AD359&lt;=AT359,"库存不足",IF(AD359&gt;=AT359*1.5,"库存预警","库存正常"))</f>
        <v/>
      </c>
      <c r="AF359" s="4">
        <f>MAX(AT359-AA359-AB359,0)</f>
        <v/>
      </c>
      <c r="AG359" s="4">
        <f>MAX(X359-AD359,0)</f>
        <v/>
      </c>
      <c r="AH359" s="4">
        <f>AF359-AG359</f>
        <v/>
      </c>
      <c r="AI359" s="14">
        <f>AX359+(AA359+AB359)/AR359-60</f>
        <v/>
      </c>
      <c r="AJ359" s="16" t="n"/>
      <c r="AK359" s="16" t="n"/>
      <c r="AL359" s="16" t="n"/>
      <c r="AM359" s="16" t="n"/>
      <c r="AN359" s="15" t="n"/>
      <c r="AO359" s="4">
        <f>ROUND(AK359/7,0)</f>
        <v/>
      </c>
      <c r="AP359" s="4">
        <f>ROUND(AL359/15,0)</f>
        <v/>
      </c>
      <c r="AQ359" s="4">
        <f>ROUND(AM359/30,0)</f>
        <v/>
      </c>
      <c r="AR359" s="4" t="n"/>
      <c r="AS359" s="16" t="n"/>
      <c r="AT359" s="16" t="n"/>
      <c r="AU359" s="16" t="n"/>
      <c r="AV359" s="16" t="n"/>
      <c r="AW359" s="16" t="n"/>
      <c r="AX359" s="14">
        <f>TODAY()</f>
        <v/>
      </c>
      <c r="AY359" s="16" t="n"/>
      <c r="AZ359" s="16" t="n"/>
      <c r="BA359" s="16" t="n"/>
      <c r="BB359" s="16" t="n"/>
      <c r="BC359" s="16" t="n"/>
    </row>
    <row r="360">
      <c r="A360" s="28" t="n"/>
      <c r="B360" s="28" t="n"/>
      <c r="C360" s="28" t="n"/>
      <c r="D360" s="28" t="n"/>
      <c r="E360" s="28" t="n"/>
      <c r="F360" s="28" t="n"/>
      <c r="G360" s="28" t="n"/>
      <c r="H360" s="28" t="n"/>
      <c r="I360" s="28" t="n"/>
      <c r="J360" s="28" t="n"/>
      <c r="K360" s="28" t="n"/>
      <c r="L360" s="28" t="n"/>
      <c r="M360" s="28" t="n"/>
      <c r="N360" s="28" t="n"/>
      <c r="O360" s="28" t="n"/>
      <c r="P360" s="28" t="n"/>
      <c r="Q360" s="28">
        <f>L360*M360*N360/1000000</f>
        <v/>
      </c>
      <c r="R360" s="28" t="n"/>
      <c r="S360" s="28" t="n"/>
      <c r="T360" s="16" t="n"/>
      <c r="U360" s="16" t="n"/>
      <c r="V360" s="16" t="n"/>
      <c r="W360" s="4" t="n"/>
      <c r="X360" s="4">
        <f>AR360*(W360+35+10)</f>
        <v/>
      </c>
      <c r="Y360" s="4">
        <f>AR360*(W360+35+10+45)</f>
        <v/>
      </c>
      <c r="Z360" s="4">
        <f>AA360+AB360+AC360</f>
        <v/>
      </c>
      <c r="AA360" s="4" t="n"/>
      <c r="AB360" s="4" t="n"/>
      <c r="AC360" s="4" t="n"/>
      <c r="AD360" s="4">
        <f>AA360+AB360</f>
        <v/>
      </c>
      <c r="AE360" s="13">
        <f>IF(AD360&lt;=AT360,"库存不足",IF(AD360&gt;=AT360*1.5,"库存预警","库存正常"))</f>
        <v/>
      </c>
      <c r="AF360" s="4">
        <f>MAX(AT360-AA360-AB360,0)</f>
        <v/>
      </c>
      <c r="AG360" s="4">
        <f>MAX(X360-AD360,0)</f>
        <v/>
      </c>
      <c r="AH360" s="4">
        <f>AF360-AG360</f>
        <v/>
      </c>
      <c r="AI360" s="14">
        <f>AX360+(AA360+AB360)/AR360-60</f>
        <v/>
      </c>
      <c r="AJ360" s="16" t="n"/>
      <c r="AK360" s="15" t="n"/>
      <c r="AL360" s="15" t="n"/>
      <c r="AM360" s="15" t="n"/>
      <c r="AN360" s="15" t="n"/>
      <c r="AO360" s="4">
        <f>ROUND(AK360/7,0)</f>
        <v/>
      </c>
      <c r="AP360" s="4">
        <f>ROUND(AL360/15,0)</f>
        <v/>
      </c>
      <c r="AQ360" s="4">
        <f>ROUND(AM360/30,0)</f>
        <v/>
      </c>
      <c r="AR360" s="4" t="n"/>
      <c r="AS360" s="16" t="n"/>
      <c r="AT360" s="16" t="n"/>
      <c r="AU360" s="16" t="n"/>
      <c r="AV360" s="16" t="n"/>
      <c r="AW360" s="16" t="n"/>
      <c r="AX360" s="14">
        <f>TODAY()</f>
        <v/>
      </c>
      <c r="AY360" s="16" t="n"/>
      <c r="AZ360" s="16" t="n"/>
      <c r="BA360" s="16" t="n"/>
      <c r="BB360" s="16" t="n"/>
      <c r="BC360" s="16" t="n"/>
    </row>
    <row r="361">
      <c r="A361" s="28" t="n"/>
      <c r="B361" s="28" t="n"/>
      <c r="C361" s="28" t="n"/>
      <c r="D361" s="28" t="n"/>
      <c r="E361" s="28" t="n"/>
      <c r="F361" s="28" t="n"/>
      <c r="G361" s="28" t="n"/>
      <c r="H361" s="28" t="n"/>
      <c r="I361" s="28" t="n"/>
      <c r="J361" s="28" t="n"/>
      <c r="K361" s="28" t="n"/>
      <c r="L361" s="28" t="n"/>
      <c r="M361" s="28" t="n"/>
      <c r="N361" s="28" t="n"/>
      <c r="O361" s="28" t="n"/>
      <c r="P361" s="28" t="n"/>
      <c r="Q361" s="28">
        <f>L361*M361*N361/1000000</f>
        <v/>
      </c>
      <c r="R361" s="28" t="n"/>
      <c r="S361" s="28" t="n"/>
      <c r="T361" s="16" t="n"/>
      <c r="U361" s="16" t="n"/>
      <c r="V361" s="16" t="n"/>
      <c r="W361" s="4" t="n"/>
      <c r="X361" s="4">
        <f>AR361*(W361+35+10)</f>
        <v/>
      </c>
      <c r="Y361" s="4">
        <f>AR361*(W361+35+10+45)</f>
        <v/>
      </c>
      <c r="Z361" s="4">
        <f>AA361+AB361+AC361</f>
        <v/>
      </c>
      <c r="AA361" s="4" t="n"/>
      <c r="AB361" s="4" t="n"/>
      <c r="AC361" s="4" t="n"/>
      <c r="AD361" s="4">
        <f>AA361+AB361</f>
        <v/>
      </c>
      <c r="AE361" s="29">
        <f>IF(AD361&lt;=AT361,"库存不足",IF(AD361&gt;=AT361*1.5,"库存预警","库存正常"))</f>
        <v/>
      </c>
      <c r="AF361" s="4">
        <f>MAX(AT361-AA361-AB361,0)</f>
        <v/>
      </c>
      <c r="AG361" s="4">
        <f>MAX(X361-AD361,0)</f>
        <v/>
      </c>
      <c r="AH361" s="4">
        <f>AF361-AG361</f>
        <v/>
      </c>
      <c r="AI361" s="14">
        <f>AX361+(AA361+AB361)/AR361-60</f>
        <v/>
      </c>
      <c r="AJ361" s="16" t="n"/>
      <c r="AK361" s="16" t="n"/>
      <c r="AL361" s="16" t="n"/>
      <c r="AM361" s="16" t="n"/>
      <c r="AN361" s="15" t="n"/>
      <c r="AO361" s="4">
        <f>ROUND(AK361/7,0)</f>
        <v/>
      </c>
      <c r="AP361" s="4">
        <f>ROUND(AL361/15,0)</f>
        <v/>
      </c>
      <c r="AQ361" s="4">
        <f>ROUND(AM361/30,0)</f>
        <v/>
      </c>
      <c r="AR361" s="4" t="n"/>
      <c r="AS361" s="16" t="n"/>
      <c r="AT361" s="16" t="n"/>
      <c r="AU361" s="16" t="n"/>
      <c r="AV361" s="16" t="n"/>
      <c r="AW361" s="16" t="n"/>
      <c r="AX361" s="14">
        <f>TODAY()</f>
        <v/>
      </c>
      <c r="AY361" s="16" t="n"/>
      <c r="AZ361" s="16" t="n"/>
      <c r="BA361" s="16" t="n"/>
      <c r="BB361" s="16" t="n"/>
      <c r="BC361" s="16" t="n"/>
    </row>
    <row r="362">
      <c r="A362" s="28" t="n"/>
      <c r="B362" s="28" t="n"/>
      <c r="C362" s="28" t="n"/>
      <c r="D362" s="28" t="n"/>
      <c r="E362" s="28" t="n"/>
      <c r="F362" s="28" t="n"/>
      <c r="G362" s="28" t="n"/>
      <c r="H362" s="28" t="n"/>
      <c r="I362" s="28" t="n"/>
      <c r="J362" s="28" t="n"/>
      <c r="K362" s="28" t="n"/>
      <c r="L362" s="28" t="n"/>
      <c r="M362" s="28" t="n"/>
      <c r="N362" s="28" t="n"/>
      <c r="O362" s="28" t="n"/>
      <c r="P362" s="28" t="n"/>
      <c r="Q362" s="28">
        <f>L362*M362*N362/1000000</f>
        <v/>
      </c>
      <c r="R362" s="28" t="n"/>
      <c r="S362" s="28" t="n"/>
      <c r="T362" s="16" t="n"/>
      <c r="U362" s="16" t="n"/>
      <c r="V362" s="16" t="n"/>
      <c r="W362" s="4" t="n"/>
      <c r="X362" s="4">
        <f>AR362*(W362+35+10)</f>
        <v/>
      </c>
      <c r="Y362" s="4">
        <f>AR362*(W362+35+10+45)</f>
        <v/>
      </c>
      <c r="Z362" s="4">
        <f>AA362+AB362+AC362</f>
        <v/>
      </c>
      <c r="AA362" s="4" t="n"/>
      <c r="AB362" s="4" t="n"/>
      <c r="AC362" s="4" t="n"/>
      <c r="AD362" s="4">
        <f>AA362+AB362</f>
        <v/>
      </c>
      <c r="AE362" s="29">
        <f>IF(AD362&lt;=AT362,"库存不足",IF(AD362&gt;=AT362*1.5,"库存预警","库存正常"))</f>
        <v/>
      </c>
      <c r="AF362" s="4">
        <f>MAX(AT362-AA362-AB362,0)</f>
        <v/>
      </c>
      <c r="AG362" s="4">
        <f>MAX(X362-AD362,0)</f>
        <v/>
      </c>
      <c r="AH362" s="4">
        <f>AF362-AG362</f>
        <v/>
      </c>
      <c r="AI362" s="14">
        <f>AX362+(AA362+AB362)/AR362-60</f>
        <v/>
      </c>
      <c r="AJ362" s="16" t="n"/>
      <c r="AK362" s="16" t="n"/>
      <c r="AL362" s="16" t="n"/>
      <c r="AM362" s="16" t="n"/>
      <c r="AN362" s="15" t="n"/>
      <c r="AO362" s="4">
        <f>ROUND(AK362/7,0)</f>
        <v/>
      </c>
      <c r="AP362" s="4">
        <f>ROUND(AL362/15,0)</f>
        <v/>
      </c>
      <c r="AQ362" s="4">
        <f>ROUND(AM362/30,0)</f>
        <v/>
      </c>
      <c r="AR362" s="4" t="n"/>
      <c r="AS362" s="16" t="n"/>
      <c r="AT362" s="16" t="n"/>
      <c r="AU362" s="16" t="n"/>
      <c r="AV362" s="16" t="n"/>
      <c r="AW362" s="16" t="n"/>
      <c r="AX362" s="14">
        <f>TODAY()</f>
        <v/>
      </c>
      <c r="AY362" s="16" t="n"/>
      <c r="AZ362" s="16" t="n"/>
      <c r="BA362" s="16" t="n"/>
      <c r="BB362" s="16" t="n"/>
      <c r="BC362" s="16" t="n"/>
    </row>
    <row r="363">
      <c r="A363" s="28" t="n"/>
      <c r="B363" s="28" t="n"/>
      <c r="C363" s="28" t="n"/>
      <c r="D363" s="28" t="n"/>
      <c r="E363" s="28" t="n"/>
      <c r="F363" s="28" t="n"/>
      <c r="G363" s="28" t="n"/>
      <c r="H363" s="28" t="n"/>
      <c r="I363" s="28" t="n"/>
      <c r="J363" s="28" t="n"/>
      <c r="K363" s="28" t="n"/>
      <c r="L363" s="28" t="n"/>
      <c r="M363" s="28" t="n"/>
      <c r="N363" s="28" t="n"/>
      <c r="O363" s="28" t="n"/>
      <c r="P363" s="28" t="n"/>
      <c r="Q363" s="28">
        <f>L363*M363*N363/1000000</f>
        <v/>
      </c>
      <c r="R363" s="28" t="n"/>
      <c r="S363" s="28" t="n"/>
      <c r="T363" s="16" t="n"/>
      <c r="U363" s="15" t="n"/>
      <c r="V363" s="15" t="n"/>
      <c r="W363" s="15" t="n"/>
      <c r="X363" s="15" t="n"/>
      <c r="Y363" s="15" t="n"/>
      <c r="Z363" s="15" t="n"/>
      <c r="AA363" s="15" t="n"/>
      <c r="AB363" s="15" t="n"/>
      <c r="AC363" s="4" t="n"/>
      <c r="AD363" s="15" t="n"/>
      <c r="AE363" s="29">
        <f>IF(AD363&lt;=AT363,"库存不足",IF(AD363&gt;=AT363*1.5,"库存预警","库存正常"))</f>
        <v/>
      </c>
      <c r="AF363" s="15" t="n"/>
      <c r="AG363" s="4">
        <f>MAX(X363-AD363,0)</f>
        <v/>
      </c>
      <c r="AH363" s="4">
        <f>AF363-AG363</f>
        <v/>
      </c>
      <c r="AI363" s="15" t="n"/>
      <c r="AJ363" s="15" t="n"/>
      <c r="AK363" s="15" t="n"/>
      <c r="AL363" s="15" t="n"/>
      <c r="AM363" s="15" t="n"/>
      <c r="AN363" s="15" t="n"/>
      <c r="AO363" s="15" t="n"/>
      <c r="AP363" s="15" t="n"/>
      <c r="AQ363" s="15" t="n"/>
      <c r="AR363" s="15" t="n"/>
      <c r="AS363" s="15" t="n"/>
      <c r="AT363" s="15" t="n"/>
      <c r="AU363" s="15" t="n"/>
      <c r="AV363" s="15" t="n"/>
      <c r="AW363" s="15" t="n"/>
      <c r="AX363" s="14">
        <f>TODAY()</f>
        <v/>
      </c>
      <c r="AY363" s="15" t="n"/>
      <c r="AZ363" s="15" t="n"/>
      <c r="BA363" s="15" t="n"/>
      <c r="BB363" s="15" t="n"/>
      <c r="BC363" s="15" t="n"/>
    </row>
    <row r="364">
      <c r="A364" s="28" t="n"/>
      <c r="B364" s="28" t="n"/>
      <c r="C364" s="28" t="n"/>
      <c r="D364" s="28" t="n"/>
      <c r="E364" s="28" t="n"/>
      <c r="F364" s="28" t="n"/>
      <c r="G364" s="28" t="n"/>
      <c r="H364" s="28" t="n"/>
      <c r="I364" s="28" t="n"/>
      <c r="J364" s="28" t="n"/>
      <c r="K364" s="28" t="n"/>
      <c r="L364" s="28" t="n"/>
      <c r="M364" s="28" t="n"/>
      <c r="N364" s="28" t="n"/>
      <c r="O364" s="28" t="n"/>
      <c r="P364" s="28" t="n"/>
      <c r="Q364" s="28">
        <f>L364*M364*N364/1000000</f>
        <v/>
      </c>
      <c r="R364" s="28" t="n"/>
      <c r="S364" s="28" t="n"/>
      <c r="T364" s="16" t="n"/>
      <c r="U364" s="15" t="n"/>
      <c r="V364" s="15" t="n"/>
      <c r="W364" s="15" t="n"/>
      <c r="X364" s="15" t="n"/>
      <c r="Y364" s="15" t="n"/>
      <c r="Z364" s="15" t="n"/>
      <c r="AA364" s="15" t="n"/>
      <c r="AB364" s="15" t="n"/>
      <c r="AC364" s="4" t="n"/>
      <c r="AD364" s="15" t="n"/>
      <c r="AE364" s="29">
        <f>IF(AD364&lt;=AT364,"库存不足",IF(AD364&gt;=AT364*1.5,"库存预警","库存正常"))</f>
        <v/>
      </c>
      <c r="AF364" s="15" t="n"/>
      <c r="AG364" s="4">
        <f>MAX(X364-AD364,0)</f>
        <v/>
      </c>
      <c r="AH364" s="4">
        <f>AF364-AG364</f>
        <v/>
      </c>
      <c r="AI364" s="15" t="n"/>
      <c r="AJ364" s="15" t="n"/>
      <c r="AK364" s="15" t="n"/>
      <c r="AL364" s="15" t="n"/>
      <c r="AM364" s="15" t="n"/>
      <c r="AN364" s="15" t="n"/>
      <c r="AO364" s="15" t="n"/>
      <c r="AP364" s="15" t="n"/>
      <c r="AQ364" s="15" t="n"/>
      <c r="AR364" s="15" t="n"/>
      <c r="AS364" s="15" t="n"/>
      <c r="AT364" s="15" t="n"/>
      <c r="AU364" s="15" t="n"/>
      <c r="AV364" s="15" t="n"/>
      <c r="AW364" s="15" t="n"/>
      <c r="AX364" s="14">
        <f>TODAY()</f>
        <v/>
      </c>
      <c r="AY364" s="15" t="n"/>
      <c r="AZ364" s="15" t="n"/>
      <c r="BA364" s="15" t="n"/>
      <c r="BB364" s="15" t="n"/>
      <c r="BC364" s="15" t="n"/>
    </row>
    <row r="365">
      <c r="A365" s="28" t="n"/>
      <c r="B365" s="28" t="n"/>
      <c r="C365" s="28" t="n"/>
      <c r="D365" s="28" t="n"/>
      <c r="E365" s="28" t="n"/>
      <c r="F365" s="28" t="n"/>
      <c r="G365" s="28" t="n"/>
      <c r="H365" s="28" t="n"/>
      <c r="I365" s="28" t="n"/>
      <c r="J365" s="28" t="n"/>
      <c r="K365" s="28" t="n"/>
      <c r="L365" s="28" t="n"/>
      <c r="M365" s="28" t="n"/>
      <c r="N365" s="28" t="n"/>
      <c r="O365" s="28" t="n"/>
      <c r="P365" s="28" t="n"/>
      <c r="Q365" s="28">
        <f>L365*M365*N365/1000000</f>
        <v/>
      </c>
      <c r="R365" s="28" t="n"/>
      <c r="S365" s="28" t="n"/>
      <c r="T365" s="16" t="n"/>
      <c r="U365" s="15" t="n"/>
      <c r="V365" s="15" t="n"/>
      <c r="W365" s="15" t="n"/>
      <c r="X365" s="15" t="n"/>
      <c r="Y365" s="15" t="n"/>
      <c r="Z365" s="15" t="n"/>
      <c r="AA365" s="15" t="n"/>
      <c r="AB365" s="15" t="n"/>
      <c r="AC365" s="4" t="n"/>
      <c r="AD365" s="15" t="n"/>
      <c r="AE365" s="29">
        <f>IF(AD365&lt;=AT365,"库存不足",IF(AD365&gt;=AT365*1.5,"库存预警","库存正常"))</f>
        <v/>
      </c>
      <c r="AF365" s="15" t="n"/>
      <c r="AG365" s="4">
        <f>MAX(X365-AD365,0)</f>
        <v/>
      </c>
      <c r="AH365" s="4">
        <f>AF365-AG365</f>
        <v/>
      </c>
      <c r="AI365" s="15" t="n"/>
      <c r="AJ365" s="15" t="n"/>
      <c r="AK365" s="15" t="n"/>
      <c r="AL365" s="15" t="n"/>
      <c r="AM365" s="15" t="n"/>
      <c r="AN365" s="15" t="n"/>
      <c r="AO365" s="15" t="n"/>
      <c r="AP365" s="15" t="n"/>
      <c r="AQ365" s="15" t="n"/>
      <c r="AR365" s="15" t="n"/>
      <c r="AS365" s="15" t="n"/>
      <c r="AT365" s="15" t="n"/>
      <c r="AU365" s="15" t="n"/>
      <c r="AV365" s="15" t="n"/>
      <c r="AW365" s="15" t="n"/>
      <c r="AX365" s="14">
        <f>TODAY()</f>
        <v/>
      </c>
      <c r="AY365" s="15" t="n"/>
      <c r="AZ365" s="15" t="n"/>
      <c r="BA365" s="15" t="n"/>
      <c r="BB365" s="15" t="n"/>
      <c r="BC365" s="15" t="n"/>
    </row>
    <row r="366">
      <c r="A366" s="28" t="n"/>
      <c r="B366" s="28" t="n"/>
      <c r="C366" s="28" t="n"/>
      <c r="D366" s="28" t="n"/>
      <c r="E366" s="28" t="n"/>
      <c r="F366" s="28" t="n"/>
      <c r="G366" s="28" t="n"/>
      <c r="H366" s="28" t="n"/>
      <c r="I366" s="28" t="n"/>
      <c r="J366" s="28" t="n"/>
      <c r="K366" s="28" t="n"/>
      <c r="L366" s="28" t="n"/>
      <c r="M366" s="28" t="n"/>
      <c r="N366" s="28" t="n"/>
      <c r="O366" s="28" t="n"/>
      <c r="P366" s="28" t="n"/>
      <c r="Q366" s="28">
        <f>L366*M366*N366/1000000</f>
        <v/>
      </c>
      <c r="R366" s="28" t="n"/>
      <c r="S366" s="28" t="n"/>
      <c r="T366" s="16" t="n"/>
      <c r="U366" s="15" t="n"/>
      <c r="V366" s="15" t="n"/>
      <c r="W366" s="15" t="n"/>
      <c r="X366" s="15" t="n"/>
      <c r="Y366" s="15" t="n"/>
      <c r="Z366" s="15" t="n"/>
      <c r="AA366" s="15" t="n"/>
      <c r="AB366" s="15" t="n"/>
      <c r="AC366" s="4" t="n"/>
      <c r="AD366" s="15" t="n"/>
      <c r="AE366" s="29">
        <f>IF(AD366&lt;=AT366,"库存不足",IF(AD366&gt;=AT366*1.5,"库存预警","库存正常"))</f>
        <v/>
      </c>
      <c r="AF366" s="15" t="n"/>
      <c r="AG366" s="4">
        <f>MAX(X366-AD366,0)</f>
        <v/>
      </c>
      <c r="AH366" s="4">
        <f>AF366-AG366</f>
        <v/>
      </c>
      <c r="AI366" s="15" t="n"/>
      <c r="AJ366" s="15" t="n"/>
      <c r="AK366" s="15" t="n"/>
      <c r="AL366" s="15" t="n"/>
      <c r="AM366" s="15" t="n"/>
      <c r="AN366" s="15" t="n"/>
      <c r="AO366" s="15" t="n"/>
      <c r="AP366" s="15" t="n"/>
      <c r="AQ366" s="15" t="n"/>
      <c r="AR366" s="15" t="n"/>
      <c r="AS366" s="15" t="n"/>
      <c r="AT366" s="15" t="n"/>
      <c r="AU366" s="15" t="n"/>
      <c r="AV366" s="15" t="n"/>
      <c r="AW366" s="15" t="n"/>
      <c r="AX366" s="14">
        <f>TODAY()</f>
        <v/>
      </c>
      <c r="AY366" s="15" t="n"/>
      <c r="AZ366" s="15" t="n"/>
      <c r="BA366" s="15" t="n"/>
      <c r="BB366" s="15" t="n"/>
      <c r="BC366" s="15" t="n"/>
    </row>
    <row r="367">
      <c r="A367" s="28" t="n"/>
      <c r="B367" s="28" t="n"/>
      <c r="C367" s="28" t="n"/>
      <c r="D367" s="28" t="n"/>
      <c r="E367" s="28" t="n"/>
      <c r="F367" s="28" t="n"/>
      <c r="G367" s="28" t="n"/>
      <c r="H367" s="28" t="n"/>
      <c r="I367" s="28" t="n"/>
      <c r="J367" s="28" t="n"/>
      <c r="K367" s="28" t="n"/>
      <c r="L367" s="28" t="n"/>
      <c r="M367" s="28" t="n"/>
      <c r="N367" s="28" t="n"/>
      <c r="O367" s="28" t="n"/>
      <c r="P367" s="28" t="n"/>
      <c r="Q367" s="28">
        <f>L367*M367*N367/1000000</f>
        <v/>
      </c>
      <c r="R367" s="28" t="n"/>
      <c r="S367" s="28" t="n"/>
      <c r="T367" s="16" t="n"/>
      <c r="U367" s="15" t="n"/>
      <c r="V367" s="15" t="n"/>
      <c r="W367" s="15" t="n"/>
      <c r="X367" s="15" t="n"/>
      <c r="Y367" s="15" t="n"/>
      <c r="Z367" s="15" t="n"/>
      <c r="AA367" s="15" t="n"/>
      <c r="AB367" s="15" t="n"/>
      <c r="AC367" s="4" t="n"/>
      <c r="AD367" s="15" t="n"/>
      <c r="AE367" s="29">
        <f>IF(AD367&lt;=AT367,"库存不足",IF(AD367&gt;=AT367*1.5,"库存预警","库存正常"))</f>
        <v/>
      </c>
      <c r="AF367" s="15" t="n"/>
      <c r="AG367" s="4">
        <f>MAX(X367-AD367,0)</f>
        <v/>
      </c>
      <c r="AH367" s="4">
        <f>AF367-AG367</f>
        <v/>
      </c>
      <c r="AI367" s="15" t="n"/>
      <c r="AJ367" s="15" t="n"/>
      <c r="AK367" s="15" t="n"/>
      <c r="AL367" s="15" t="n"/>
      <c r="AM367" s="15" t="n"/>
      <c r="AN367" s="15" t="n"/>
      <c r="AO367" s="15" t="n"/>
      <c r="AP367" s="15" t="n"/>
      <c r="AQ367" s="15" t="n"/>
      <c r="AR367" s="15" t="n"/>
      <c r="AS367" s="15" t="n"/>
      <c r="AT367" s="15" t="n"/>
      <c r="AU367" s="15" t="n"/>
      <c r="AV367" s="15" t="n"/>
      <c r="AW367" s="15" t="n"/>
      <c r="AX367" s="14">
        <f>TODAY()</f>
        <v/>
      </c>
      <c r="AY367" s="15" t="n"/>
      <c r="AZ367" s="15" t="n"/>
      <c r="BA367" s="15" t="n"/>
      <c r="BB367" s="15" t="n"/>
      <c r="BC367" s="15" t="n"/>
    </row>
    <row r="368">
      <c r="A368" s="28" t="n"/>
      <c r="B368" s="28" t="n"/>
      <c r="C368" s="28" t="n"/>
      <c r="D368" s="28" t="n"/>
      <c r="E368" s="28" t="n"/>
      <c r="F368" s="28" t="n"/>
      <c r="G368" s="28" t="n"/>
      <c r="H368" s="28" t="n"/>
      <c r="I368" s="28" t="n"/>
      <c r="J368" s="28" t="n"/>
      <c r="K368" s="28" t="n"/>
      <c r="L368" s="28" t="n"/>
      <c r="M368" s="28" t="n"/>
      <c r="N368" s="28" t="n"/>
      <c r="O368" s="28" t="n"/>
      <c r="P368" s="28" t="n"/>
      <c r="Q368" s="28">
        <f>L368*M368*N368/1000000</f>
        <v/>
      </c>
      <c r="R368" s="28" t="n"/>
      <c r="S368" s="28" t="n"/>
      <c r="T368" s="16" t="n"/>
      <c r="U368" s="15" t="n"/>
      <c r="V368" s="15" t="n"/>
      <c r="W368" s="15" t="n"/>
      <c r="X368" s="15" t="n"/>
      <c r="Y368" s="15" t="n"/>
      <c r="Z368" s="15" t="n"/>
      <c r="AA368" s="15" t="n"/>
      <c r="AB368" s="15" t="n"/>
      <c r="AC368" s="4" t="n"/>
      <c r="AD368" s="15" t="n"/>
      <c r="AE368" s="29">
        <f>IF(AD368&lt;=AT368,"库存不足",IF(AD368&gt;=AT368*1.5,"库存预警","库存正常"))</f>
        <v/>
      </c>
      <c r="AF368" s="15" t="n"/>
      <c r="AG368" s="15" t="n"/>
      <c r="AH368" s="15" t="n"/>
      <c r="AI368" s="15" t="n"/>
      <c r="AJ368" s="15" t="n"/>
      <c r="AK368" s="15" t="n"/>
      <c r="AL368" s="15" t="n"/>
      <c r="AM368" s="15" t="n"/>
      <c r="AN368" s="15" t="n"/>
      <c r="AO368" s="15" t="n"/>
      <c r="AP368" s="15" t="n"/>
      <c r="AQ368" s="15" t="n"/>
      <c r="AR368" s="15" t="n"/>
      <c r="AS368" s="15" t="n"/>
      <c r="AT368" s="15" t="n"/>
      <c r="AU368" s="38" t="n"/>
      <c r="AV368" s="15" t="n"/>
      <c r="AW368" s="15" t="n"/>
      <c r="AX368" s="14">
        <f>TODAY()</f>
        <v/>
      </c>
      <c r="AY368" s="15" t="n"/>
      <c r="AZ368" s="15" t="n"/>
      <c r="BA368" s="15" t="n"/>
      <c r="BB368" s="15" t="n"/>
      <c r="BC368" s="15" t="n"/>
    </row>
    <row r="369">
      <c r="A369" s="28" t="n"/>
      <c r="B369" s="28" t="n"/>
      <c r="C369" s="28" t="n"/>
      <c r="D369" s="28" t="n"/>
      <c r="E369" s="28" t="n"/>
      <c r="F369" s="28" t="n"/>
      <c r="G369" s="28" t="n"/>
      <c r="H369" s="28" t="n"/>
      <c r="I369" s="28" t="n"/>
      <c r="J369" s="28" t="n"/>
      <c r="K369" s="28" t="n"/>
      <c r="L369" s="28" t="n"/>
      <c r="M369" s="28" t="n"/>
      <c r="N369" s="28" t="n"/>
      <c r="O369" s="28" t="n"/>
      <c r="P369" s="28" t="n"/>
      <c r="Q369" s="28">
        <f>L369*M369*N369/1000000</f>
        <v/>
      </c>
      <c r="R369" s="28" t="n"/>
      <c r="S369" s="28" t="n"/>
      <c r="T369" s="16" t="n"/>
      <c r="U369" s="15" t="n"/>
      <c r="V369" s="15" t="n"/>
      <c r="W369" s="15" t="n"/>
      <c r="X369" s="15" t="n"/>
      <c r="Y369" s="15" t="n"/>
      <c r="Z369" s="15" t="n"/>
      <c r="AA369" s="15" t="n"/>
      <c r="AB369" s="15" t="n"/>
      <c r="AC369" s="4" t="n"/>
      <c r="AD369" s="15" t="n"/>
      <c r="AE369" s="29">
        <f>IF(AD369&lt;=AT369,"库存不足",IF(AD369&gt;=AT369*1.5,"库存预警","库存正常"))</f>
        <v/>
      </c>
      <c r="AF369" s="15" t="n"/>
      <c r="AG369" s="15" t="n"/>
      <c r="AH369" s="15" t="n"/>
      <c r="AI369" s="15" t="n"/>
      <c r="AJ369" s="15" t="n"/>
      <c r="AK369" s="15" t="n"/>
      <c r="AL369" s="15" t="n"/>
      <c r="AM369" s="15" t="n"/>
      <c r="AN369" s="15" t="n"/>
      <c r="AO369" s="15" t="n"/>
      <c r="AP369" s="15" t="n"/>
      <c r="AQ369" s="15" t="n"/>
      <c r="AR369" s="15" t="n"/>
      <c r="AS369" s="15" t="n"/>
      <c r="AT369" s="15" t="n"/>
      <c r="AU369" s="38" t="n"/>
      <c r="AV369" s="15" t="n"/>
      <c r="AW369" s="15" t="n"/>
      <c r="AX369" s="14">
        <f>TODAY()</f>
        <v/>
      </c>
      <c r="AY369" s="15" t="n"/>
      <c r="AZ369" s="15" t="n"/>
      <c r="BA369" s="15" t="n"/>
      <c r="BB369" s="15" t="n"/>
      <c r="BC369" s="15" t="n"/>
    </row>
    <row r="370">
      <c r="A370" s="28" t="n"/>
      <c r="B370" s="28" t="n"/>
      <c r="C370" s="28" t="n"/>
      <c r="D370" s="28" t="n"/>
      <c r="E370" s="28" t="n"/>
      <c r="F370" s="28" t="n"/>
      <c r="G370" s="28" t="n"/>
      <c r="H370" s="28" t="n"/>
      <c r="I370" s="28" t="n"/>
      <c r="J370" s="28" t="n"/>
      <c r="K370" s="28" t="n"/>
      <c r="L370" s="28" t="n"/>
      <c r="M370" s="28" t="n"/>
      <c r="N370" s="28" t="n"/>
      <c r="O370" s="28" t="n"/>
      <c r="P370" s="28" t="n"/>
      <c r="Q370" s="28">
        <f>ROUND((L370*M370*N370)/1000000,3)</f>
        <v/>
      </c>
      <c r="R370" s="28" t="n"/>
      <c r="S370" s="28" t="n"/>
      <c r="T370" s="16" t="n"/>
      <c r="U370" s="15" t="n"/>
      <c r="V370" s="15" t="n"/>
      <c r="W370" s="15" t="n"/>
      <c r="X370" s="15" t="n"/>
      <c r="Y370" s="15" t="n"/>
      <c r="Z370" s="15" t="n"/>
      <c r="AA370" s="15" t="n"/>
      <c r="AB370" s="15" t="n"/>
      <c r="AC370" s="4" t="n"/>
      <c r="AD370" s="15" t="n"/>
      <c r="AE370" s="29">
        <f>IF(AD370&lt;=AT370,"库存不足",IF(AD370&gt;=AT370*1.5,"库存预警","库存正常"))</f>
        <v/>
      </c>
      <c r="AF370" s="15" t="n"/>
      <c r="AG370" s="15" t="n"/>
      <c r="AH370" s="15" t="n"/>
      <c r="AI370" s="15" t="n"/>
      <c r="AJ370" s="15" t="n"/>
      <c r="AK370" s="15" t="n"/>
      <c r="AL370" s="15" t="n"/>
      <c r="AM370" s="15" t="n"/>
      <c r="AN370" s="15" t="n"/>
      <c r="AO370" s="15" t="n"/>
      <c r="AP370" s="15" t="n"/>
      <c r="AQ370" s="15" t="n"/>
      <c r="AR370" s="15" t="n"/>
      <c r="AS370" s="15" t="n"/>
      <c r="AT370" s="15" t="n"/>
      <c r="AU370" s="38" t="n"/>
      <c r="AV370" s="15" t="n"/>
      <c r="AW370" s="15" t="n"/>
      <c r="AX370" s="14">
        <f>TODAY()</f>
        <v/>
      </c>
      <c r="AY370" s="15" t="n"/>
      <c r="AZ370" s="15" t="n"/>
      <c r="BA370" s="15" t="n"/>
      <c r="BB370" s="15" t="n"/>
      <c r="BC370" s="15" t="n"/>
    </row>
    <row r="371">
      <c r="A371" s="28" t="n"/>
      <c r="B371" s="28" t="n"/>
      <c r="C371" s="28" t="n"/>
      <c r="D371" s="28" t="n"/>
      <c r="E371" s="28" t="n"/>
      <c r="F371" s="28" t="n"/>
      <c r="G371" s="28" t="n"/>
      <c r="H371" s="28" t="n"/>
      <c r="I371" s="28" t="n"/>
      <c r="J371" s="28" t="n"/>
      <c r="K371" s="28" t="n"/>
      <c r="L371" s="28" t="n"/>
      <c r="M371" s="28" t="n"/>
      <c r="N371" s="28" t="n"/>
      <c r="O371" s="28" t="n"/>
      <c r="P371" s="28" t="n"/>
      <c r="Q371" s="28">
        <f>L371*M371*N371/1000000</f>
        <v/>
      </c>
      <c r="R371" s="28" t="n"/>
      <c r="S371" s="28" t="n"/>
      <c r="T371" s="16" t="n"/>
      <c r="U371" s="15" t="n"/>
      <c r="V371" s="15" t="n"/>
      <c r="W371" s="15" t="n"/>
      <c r="X371" s="15" t="n"/>
      <c r="Y371" s="15" t="n"/>
      <c r="Z371" s="15" t="n"/>
      <c r="AA371" s="15" t="n"/>
      <c r="AB371" s="15" t="n"/>
      <c r="AC371" s="4" t="n"/>
      <c r="AD371" s="15" t="n"/>
      <c r="AE371" s="29">
        <f>IF(AD371&lt;=AT371,"库存不足",IF(AD371&gt;=AT371*1.5,"库存预警","库存正常"))</f>
        <v/>
      </c>
      <c r="AF371" s="15" t="n"/>
      <c r="AG371" s="15" t="n"/>
      <c r="AH371" s="15" t="n"/>
      <c r="AI371" s="15" t="n"/>
      <c r="AJ371" s="15" t="n"/>
      <c r="AK371" s="15" t="n"/>
      <c r="AL371" s="15" t="n"/>
      <c r="AM371" s="15" t="n"/>
      <c r="AN371" s="15" t="n"/>
      <c r="AO371" s="15" t="n"/>
      <c r="AP371" s="15" t="n"/>
      <c r="AQ371" s="15" t="n"/>
      <c r="AR371" s="15" t="n"/>
      <c r="AS371" s="15" t="n"/>
      <c r="AT371" s="15" t="n"/>
      <c r="AU371" s="38" t="n"/>
      <c r="AV371" s="15" t="n"/>
      <c r="AW371" s="15" t="n"/>
      <c r="AX371" s="14">
        <f>TODAY()</f>
        <v/>
      </c>
      <c r="AY371" s="15" t="n"/>
      <c r="AZ371" s="15" t="n"/>
      <c r="BA371" s="15" t="n"/>
      <c r="BB371" s="15" t="n"/>
      <c r="BC371" s="15" t="n"/>
    </row>
    <row r="372">
      <c r="A372" s="28" t="n"/>
      <c r="B372" s="28" t="n"/>
      <c r="C372" s="28" t="n"/>
      <c r="D372" s="28" t="n"/>
      <c r="E372" s="28" t="n"/>
      <c r="F372" s="28" t="n"/>
      <c r="G372" s="28" t="n"/>
      <c r="H372" s="28" t="n"/>
      <c r="I372" s="28" t="n"/>
      <c r="J372" s="28" t="n"/>
      <c r="K372" s="28" t="n"/>
      <c r="L372" s="28" t="n"/>
      <c r="M372" s="28" t="n"/>
      <c r="N372" s="28" t="n"/>
      <c r="O372" s="28" t="n"/>
      <c r="P372" s="28" t="n"/>
      <c r="Q372" s="28">
        <f>L372*M372*N372/1000000</f>
        <v/>
      </c>
      <c r="R372" s="28" t="n"/>
      <c r="S372" s="28" t="n"/>
      <c r="T372" s="16" t="n"/>
      <c r="U372" s="15" t="n"/>
      <c r="V372" s="15" t="n"/>
      <c r="W372" s="15" t="n"/>
      <c r="X372" s="15" t="n"/>
      <c r="Y372" s="15" t="n"/>
      <c r="Z372" s="15" t="n"/>
      <c r="AA372" s="15" t="n"/>
      <c r="AB372" s="15" t="n"/>
      <c r="AC372" s="4" t="n"/>
      <c r="AD372" s="15" t="n"/>
      <c r="AE372" s="29">
        <f>IF(AD372&lt;=AT372,"库存不足",IF(AD372&gt;=AT372*1.5,"库存预警","库存正常"))</f>
        <v/>
      </c>
      <c r="AF372" s="15" t="n"/>
      <c r="AG372" s="15" t="n"/>
      <c r="AH372" s="15" t="n"/>
      <c r="AI372" s="15" t="n"/>
      <c r="AJ372" s="15" t="n"/>
      <c r="AK372" s="15" t="n"/>
      <c r="AL372" s="15" t="n"/>
      <c r="AM372" s="15" t="n"/>
      <c r="AN372" s="15" t="n"/>
      <c r="AO372" s="15" t="n"/>
      <c r="AP372" s="15" t="n"/>
      <c r="AQ372" s="15" t="n"/>
      <c r="AR372" s="15" t="n"/>
      <c r="AS372" s="15" t="n"/>
      <c r="AT372" s="15" t="n"/>
      <c r="AU372" s="38" t="n"/>
      <c r="AV372" s="15" t="n"/>
      <c r="AW372" s="15" t="n"/>
      <c r="AX372" s="14">
        <f>TODAY()</f>
        <v/>
      </c>
      <c r="AY372" s="15" t="n"/>
      <c r="AZ372" s="15" t="n"/>
      <c r="BA372" s="15" t="n"/>
      <c r="BB372" s="15" t="n"/>
      <c r="BC372" s="15" t="n"/>
    </row>
    <row r="373">
      <c r="A373" s="28" t="n"/>
      <c r="B373" s="28" t="n"/>
      <c r="C373" s="28" t="n"/>
      <c r="D373" s="28" t="n"/>
      <c r="E373" s="28" t="n"/>
      <c r="F373" s="28" t="n"/>
      <c r="G373" s="28" t="n"/>
      <c r="H373" s="28" t="n"/>
      <c r="I373" s="28" t="n"/>
      <c r="J373" s="28" t="n"/>
      <c r="K373" s="28" t="n"/>
      <c r="L373" s="28" t="n"/>
      <c r="M373" s="28" t="n"/>
      <c r="N373" s="28" t="n"/>
      <c r="O373" s="28" t="n"/>
      <c r="P373" s="28" t="n"/>
      <c r="Q373" s="28">
        <f>L373*M373*N373/1000000</f>
        <v/>
      </c>
      <c r="R373" s="28" t="n"/>
      <c r="S373" s="28" t="n"/>
      <c r="T373" s="16" t="n"/>
      <c r="U373" s="15" t="n"/>
      <c r="V373" s="15" t="n"/>
      <c r="W373" s="15" t="n"/>
      <c r="X373" s="15" t="n"/>
      <c r="Y373" s="15" t="n"/>
      <c r="Z373" s="15" t="n"/>
      <c r="AA373" s="15" t="n"/>
      <c r="AB373" s="15" t="n"/>
      <c r="AC373" s="4" t="n"/>
      <c r="AD373" s="15" t="n"/>
      <c r="AE373" s="29">
        <f>IF(AD373&lt;=AT373,"库存不足",IF(AD373&gt;=AT373*1.5,"库存预警","库存正常"))</f>
        <v/>
      </c>
      <c r="AF373" s="15" t="n"/>
      <c r="AG373" s="15" t="n"/>
      <c r="AH373" s="15" t="n"/>
      <c r="AI373" s="15" t="n"/>
      <c r="AJ373" s="15" t="n"/>
      <c r="AK373" s="15" t="n"/>
      <c r="AL373" s="15" t="n"/>
      <c r="AM373" s="15" t="n"/>
      <c r="AN373" s="15" t="n"/>
      <c r="AO373" s="15" t="n"/>
      <c r="AP373" s="15" t="n"/>
      <c r="AQ373" s="15" t="n"/>
      <c r="AR373" s="15" t="n"/>
      <c r="AS373" s="15" t="n"/>
      <c r="AT373" s="15" t="n"/>
      <c r="AU373" s="38" t="n"/>
      <c r="AV373" s="15" t="n"/>
      <c r="AW373" s="15" t="n"/>
      <c r="AX373" s="14">
        <f>TODAY()</f>
        <v/>
      </c>
      <c r="AY373" s="15" t="n"/>
      <c r="AZ373" s="15" t="n"/>
      <c r="BA373" s="15" t="n"/>
      <c r="BB373" s="15" t="n"/>
      <c r="BC373" s="15" t="n"/>
    </row>
    <row r="374">
      <c r="A374" s="28" t="n"/>
      <c r="B374" s="28" t="n"/>
      <c r="C374" s="28" t="n"/>
      <c r="D374" s="28" t="n"/>
      <c r="E374" s="28" t="n"/>
      <c r="F374" s="28" t="n"/>
      <c r="G374" s="28" t="n"/>
      <c r="H374" s="28" t="n"/>
      <c r="I374" s="28" t="n"/>
      <c r="J374" s="28" t="n"/>
      <c r="K374" s="28" t="n"/>
      <c r="L374" s="28" t="n"/>
      <c r="M374" s="28" t="n"/>
      <c r="N374" s="28" t="n"/>
      <c r="O374" s="28" t="n"/>
      <c r="P374" s="28" t="n"/>
      <c r="Q374" s="28">
        <f>L374*M374*N374/1000000</f>
        <v/>
      </c>
      <c r="R374" s="28" t="n"/>
      <c r="S374" s="28" t="n"/>
      <c r="T374" s="16" t="n"/>
      <c r="U374" s="15" t="n"/>
      <c r="V374" s="15" t="n"/>
      <c r="W374" s="15" t="n"/>
      <c r="X374" s="15" t="n"/>
      <c r="Y374" s="15" t="n"/>
      <c r="Z374" s="15" t="n"/>
      <c r="AA374" s="15" t="n"/>
      <c r="AB374" s="15" t="n"/>
      <c r="AC374" s="4" t="n"/>
      <c r="AD374" s="15" t="n"/>
      <c r="AE374" s="29">
        <f>IF(AD374&lt;=AT374,"库存不足",IF(AD374&gt;=AT374*1.5,"库存预警","库存正常"))</f>
        <v/>
      </c>
      <c r="AF374" s="15" t="n"/>
      <c r="AG374" s="15" t="n"/>
      <c r="AH374" s="15" t="n"/>
      <c r="AI374" s="15" t="n"/>
      <c r="AJ374" s="15" t="n"/>
      <c r="AK374" s="15" t="n"/>
      <c r="AL374" s="15" t="n"/>
      <c r="AM374" s="15" t="n"/>
      <c r="AN374" s="15" t="n"/>
      <c r="AO374" s="15" t="n"/>
      <c r="AP374" s="15" t="n"/>
      <c r="AQ374" s="15" t="n"/>
      <c r="AR374" s="15" t="n"/>
      <c r="AS374" s="15" t="n"/>
      <c r="AT374" s="15" t="n"/>
      <c r="AU374" s="38" t="n"/>
      <c r="AV374" s="15" t="n"/>
      <c r="AW374" s="15" t="n"/>
      <c r="AX374" s="14">
        <f>TODAY()</f>
        <v/>
      </c>
      <c r="AY374" s="15" t="n"/>
      <c r="AZ374" s="15" t="n"/>
      <c r="BA374" s="15" t="n"/>
      <c r="BB374" s="15" t="n"/>
      <c r="BC374" s="15" t="n"/>
    </row>
  </sheetData>
  <conditionalFormatting sqref="B171">
    <cfRule type="expression" priority="23" dxfId="0">
      <formula>$A171&lt;&gt;""</formula>
    </cfRule>
  </conditionalFormatting>
  <conditionalFormatting sqref="C209">
    <cfRule type="expression" priority="22" dxfId="0">
      <formula>$A209&lt;&gt;""</formula>
    </cfRule>
  </conditionalFormatting>
  <conditionalFormatting sqref="C210">
    <cfRule type="expression" priority="14" dxfId="0">
      <formula>$A210&lt;&gt;""</formula>
    </cfRule>
  </conditionalFormatting>
  <conditionalFormatting sqref="C211">
    <cfRule type="expression" priority="21" dxfId="0">
      <formula>$A211&lt;&gt;""</formula>
    </cfRule>
  </conditionalFormatting>
  <conditionalFormatting sqref="C212">
    <cfRule type="expression" priority="13" dxfId="0">
      <formula>$A212&lt;&gt;""</formula>
    </cfRule>
  </conditionalFormatting>
  <conditionalFormatting sqref="C213">
    <cfRule type="expression" priority="19" dxfId="0">
      <formula>$A213&lt;&gt;""</formula>
    </cfRule>
  </conditionalFormatting>
  <conditionalFormatting sqref="C214">
    <cfRule type="expression" priority="18" dxfId="0">
      <formula>$A214&lt;&gt;""</formula>
    </cfRule>
  </conditionalFormatting>
  <conditionalFormatting sqref="C223">
    <cfRule type="expression" priority="20" dxfId="0">
      <formula>$A225&lt;&gt;""</formula>
    </cfRule>
  </conditionalFormatting>
  <conditionalFormatting sqref="C224">
    <cfRule type="expression" priority="17" dxfId="0">
      <formula>$A226&lt;&gt;""</formula>
    </cfRule>
  </conditionalFormatting>
  <conditionalFormatting sqref="C225">
    <cfRule type="expression" priority="16" dxfId="0">
      <formula>$A227&lt;&gt;""</formula>
    </cfRule>
  </conditionalFormatting>
  <conditionalFormatting sqref="B251">
    <cfRule type="expression" priority="15" dxfId="0">
      <formula>$A251&lt;&gt;""</formula>
    </cfRule>
  </conditionalFormatting>
  <conditionalFormatting sqref="C312">
    <cfRule type="expression" priority="11" dxfId="0">
      <formula>$A312&lt;&gt;""</formula>
    </cfRule>
    <cfRule type="expression" priority="12" dxfId="0">
      <formula>$A313&lt;&gt;""</formula>
    </cfRule>
  </conditionalFormatting>
  <conditionalFormatting sqref="C313">
    <cfRule type="expression" priority="9" dxfId="0">
      <formula>$A313&lt;&gt;""</formula>
    </cfRule>
    <cfRule type="expression" priority="10" dxfId="0">
      <formula>$A314&lt;&gt;""</formula>
    </cfRule>
  </conditionalFormatting>
  <conditionalFormatting sqref="C314">
    <cfRule type="expression" priority="7" dxfId="0">
      <formula>$A314&lt;&gt;""</formula>
    </cfRule>
    <cfRule type="expression" priority="8" dxfId="0">
      <formula>$A315&lt;&gt;""</formula>
    </cfRule>
  </conditionalFormatting>
  <conditionalFormatting sqref="C315">
    <cfRule type="expression" priority="5" dxfId="0">
      <formula>$A315&lt;&gt;""</formula>
    </cfRule>
    <cfRule type="expression" priority="6" dxfId="0">
      <formula>$A316&lt;&gt;""</formula>
    </cfRule>
  </conditionalFormatting>
  <conditionalFormatting sqref="C316">
    <cfRule type="expression" priority="3" dxfId="0">
      <formula>$A316&lt;&gt;""</formula>
    </cfRule>
    <cfRule type="expression" priority="4" dxfId="0">
      <formula>$A317&lt;&gt;""</formula>
    </cfRule>
  </conditionalFormatting>
  <conditionalFormatting sqref="C320">
    <cfRule type="expression" priority="2" dxfId="0">
      <formula>$F320&lt;&gt;""</formula>
    </cfRule>
  </conditionalFormatting>
  <conditionalFormatting sqref="C321">
    <cfRule type="expression" priority="1" dxfId="0">
      <formula>$F321&lt;&gt;""</formula>
    </cfRule>
  </conditionalFormatting>
  <pageMargins left="0.75" right="0.75" top="1" bottom="1" header="0.5" footer="0.5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O13"/>
  <sheetViews>
    <sheetView topLeftCell="C1" workbookViewId="0">
      <selection activeCell="L13" sqref="L13"/>
    </sheetView>
  </sheetViews>
  <sheetFormatPr baseColWidth="8" defaultColWidth="9" defaultRowHeight="13.5"/>
  <cols>
    <col width="37.25" customWidth="1" style="31" min="1" max="1"/>
    <col width="13.375" customWidth="1" style="31" min="9" max="9"/>
  </cols>
  <sheetData>
    <row r="1">
      <c r="A1" s="5" t="inlineStr">
        <is>
          <t>1.pmc专员每日更新实时库存、在途数量、销量情况</t>
        </is>
      </c>
    </row>
    <row r="2">
      <c r="A2" s="5" t="inlineStr">
        <is>
          <t>2.运营提交备货需求（月一次或两次），数据审核</t>
        </is>
      </c>
      <c r="C2" s="5" t="inlineStr">
        <is>
          <t>其中涉及特殊备货，比如大促或者旺季备货以及长交期产品逻辑需要视情况而定</t>
        </is>
      </c>
      <c r="J2" s="5" t="inlineStr">
        <is>
          <t>日常常规备货：日常稳定走量</t>
        </is>
      </c>
      <c r="O2" s="5" t="inlineStr">
        <is>
          <t>新品+普通款+爆款+清仓滞销款  不同备货逻辑数据待考量</t>
        </is>
      </c>
    </row>
    <row r="3">
      <c r="A3" s="5" t="inlineStr">
        <is>
          <t>3.每月定时复盘备货准确率、滞销占比（库存呆滞海外仓仓储费分析）</t>
        </is>
      </c>
      <c r="J3" s="5" t="inlineStr">
        <is>
          <t>活动前置备货：大促 / 节日提前 30 天锁货排产</t>
        </is>
      </c>
    </row>
    <row r="4">
      <c r="J4" s="5" t="inlineStr">
        <is>
          <t>紧急应急备货：突发爆单、断货紧急补单</t>
        </is>
      </c>
    </row>
    <row r="5">
      <c r="J5" s="5" t="inlineStr">
        <is>
          <t>清仓减量备货：临期、换季、滞销停止备货</t>
        </is>
      </c>
    </row>
    <row r="9">
      <c r="A9" s="5" t="inlineStr">
        <is>
          <t>短期战略目标：运营提供备货需求，计划员整理并依据数据看板做出分析，确认下单备货出货</t>
        </is>
      </c>
    </row>
    <row r="10">
      <c r="A10" s="5" t="inlineStr">
        <is>
          <t>长期战略目标：运营端备货需求逐渐与看板逻辑及数据基本能够同步，有供应链这边分析做出排单提交财务审核，运营端口淡化下单（针对特殊情况提交备货），主要针对商品售卖处理分析（比如产品突然下滑低销高周转处理等）</t>
        </is>
      </c>
    </row>
    <row r="12" ht="42.75" customHeight="1" s="31">
      <c r="C12" s="3" t="inlineStr">
        <is>
          <t>最晚出货节点逻辑</t>
        </is>
      </c>
    </row>
    <row r="13" ht="45" customHeight="1" s="31">
      <c r="C13" s="4" t="inlineStr">
        <is>
          <t>海外仓库存+在途库存周转时间等于海运周期</t>
        </is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A1"/>
  <sheetViews>
    <sheetView workbookViewId="0">
      <selection activeCell="I40" sqref="I40"/>
    </sheetView>
  </sheetViews>
  <sheetFormatPr baseColWidth="8" defaultColWidth="9" defaultRowHeight="13.5"/>
  <sheetData/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I17"/>
  <sheetViews>
    <sheetView workbookViewId="0">
      <selection activeCell="B2" sqref="B2"/>
    </sheetView>
  </sheetViews>
  <sheetFormatPr baseColWidth="8" defaultColWidth="23.625" defaultRowHeight="13.5"/>
  <cols>
    <col width="23.625" customWidth="1" style="31" min="1" max="16384"/>
  </cols>
  <sheetData>
    <row r="1" ht="42.75" customHeight="1" s="31">
      <c r="A1" s="5" t="inlineStr">
        <is>
          <t>平台</t>
        </is>
      </c>
      <c r="B1" s="1" t="inlineStr">
        <is>
          <t>最低安全库存</t>
        </is>
      </c>
      <c r="C1" s="1" t="inlineStr">
        <is>
          <t>最高库存</t>
        </is>
      </c>
      <c r="D1" s="1" t="inlineStr">
        <is>
          <t>日均销量</t>
        </is>
      </c>
      <c r="E1" s="1" t="inlineStr">
        <is>
          <t>安全库存</t>
        </is>
      </c>
      <c r="F1" s="1" t="inlineStr">
        <is>
          <t>建议备货量(安全库存系数待定，根据款式确定系数)</t>
        </is>
      </c>
      <c r="G1" s="1" t="inlineStr">
        <is>
          <t>活动增长系数</t>
        </is>
      </c>
      <c r="I1" s="5" t="inlineStr">
        <is>
          <t>fbm中转(集中发货)</t>
        </is>
      </c>
    </row>
    <row r="2">
      <c r="A2" s="5" t="inlineStr">
        <is>
          <t>亚马逊</t>
        </is>
      </c>
      <c r="B2" s="5" t="inlineStr">
        <is>
          <t>生产周期+海运+上架（10）+45在库库存</t>
        </is>
      </c>
      <c r="D2" s="5" t="inlineStr">
        <is>
          <t>周销与月销平均数</t>
        </is>
      </c>
      <c r="I2" s="5" t="n">
        <v>20</v>
      </c>
    </row>
    <row r="7">
      <c r="A7" s="5" t="inlineStr">
        <is>
          <t>tk</t>
        </is>
      </c>
    </row>
    <row r="8">
      <c r="B8" s="5" t="inlineStr">
        <is>
          <t>生产周期+海运+上架（10）</t>
        </is>
      </c>
      <c r="D8" s="5" t="inlineStr">
        <is>
          <t>周销与月销平均数</t>
        </is>
      </c>
    </row>
    <row r="12">
      <c r="A12" s="5" t="inlineStr">
        <is>
          <t>tm</t>
        </is>
      </c>
      <c r="B12" s="5" t="inlineStr">
        <is>
          <t>生产周期+海运+上架（10）</t>
        </is>
      </c>
      <c r="D12" s="5" t="inlineStr">
        <is>
          <t>周销与月销平均数</t>
        </is>
      </c>
    </row>
    <row r="17">
      <c r="A17" s="2" t="inlineStr">
        <is>
          <t>沃尔玛</t>
        </is>
      </c>
      <c r="B17" s="2" t="inlineStr">
        <is>
          <t>生产周期+海运+上架（25）</t>
        </is>
      </c>
      <c r="C17" s="2" t="n"/>
      <c r="D17" s="2" t="inlineStr">
        <is>
          <t>周销与月销平均数</t>
        </is>
      </c>
      <c r="E17" s="2" t="n"/>
      <c r="F17" s="5" t="inlineStr">
        <is>
          <t>散货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2026-05-21T05:47:00Z</dcterms:created>
  <dcterms:modified xsi:type="dcterms:W3CDTF">2026-08-28T03:57:40Z</dcterms:modified>
  <cp:lastModifiedBy>超级无敌大帅哥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7D0E7EB17D634CF881305BF75FD78C89_13</vt:lpwstr>
  </property>
  <property name="KSOProductBuildVer" fmtid="{D5CDD505-2E9C-101B-9397-08002B2CF9AE}" pid="3">
    <vt:lpwstr>2052-12.1.0.26381</vt:lpwstr>
  </property>
  <property name="CalculationRule" fmtid="{D5CDD505-2E9C-101B-9397-08002B2CF9AE}" pid="4">
    <vt:i4>1</vt:i4>
  </property>
</Properties>
</file>